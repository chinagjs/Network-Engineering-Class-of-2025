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activeTab="1"/>
  </bookViews>
  <sheets>
    <sheet name="考勤" sheetId="3" r:id="rId1"/>
    <sheet name="值日" sheetId="4" r:id="rId2"/>
    <sheet name="实验报告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<sst xmlns="http://schemas.openxmlformats.org/spreadsheetml/2006/main" count="1038" uniqueCount="89">
  <si>
    <t>学号</t>
  </si>
  <si>
    <t>姓名</t>
  </si>
  <si>
    <t>成绩</t>
  </si>
  <si>
    <r>
      <rPr>
        <sz val="11"/>
        <color theme="1"/>
        <rFont val="等线"/>
        <charset val="134"/>
        <scheme val="minor"/>
      </rPr>
      <t>10.1</t>
    </r>
    <r>
      <rPr>
        <sz val="11"/>
        <color theme="1"/>
        <rFont val="等线"/>
        <charset val="134"/>
        <scheme val="minor"/>
      </rPr>
      <t>0</t>
    </r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</si>
  <si>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0.13</t>
    </r>
  </si>
  <si>
    <t>10.17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</si>
  <si>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0.20</t>
    </r>
  </si>
  <si>
    <t>10.24</t>
  </si>
  <si>
    <t>10.27</t>
  </si>
  <si>
    <t>10.31</t>
  </si>
  <si>
    <t>11.03</t>
  </si>
  <si>
    <t>11.06</t>
  </si>
  <si>
    <t>11.11</t>
  </si>
  <si>
    <t>11.14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</si>
  <si>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1.17</t>
    </r>
  </si>
  <si>
    <t>11.21</t>
  </si>
  <si>
    <t>11.24</t>
  </si>
  <si>
    <t>11.28</t>
  </si>
  <si>
    <t>12.01</t>
  </si>
  <si>
    <t>12.05</t>
  </si>
  <si>
    <t>12.08</t>
  </si>
  <si>
    <t>25080903001</t>
  </si>
  <si>
    <t>郝子鹏</t>
  </si>
  <si>
    <t>√</t>
  </si>
  <si>
    <t>25080903002</t>
  </si>
  <si>
    <t>孔佑姿</t>
  </si>
  <si>
    <t>×</t>
  </si>
  <si>
    <t>25080903003</t>
  </si>
  <si>
    <t>任莹</t>
  </si>
  <si>
    <t>25080903004</t>
  </si>
  <si>
    <t>王洪超</t>
  </si>
  <si>
    <t>25080903005</t>
  </si>
  <si>
    <t>于典</t>
  </si>
  <si>
    <t>25080903006</t>
  </si>
  <si>
    <t>毛甜甜</t>
  </si>
  <si>
    <t>25080903007</t>
  </si>
  <si>
    <t>唐雪峰</t>
  </si>
  <si>
    <t>25080903008</t>
  </si>
  <si>
    <t>高明蕊</t>
  </si>
  <si>
    <t>25080903009</t>
  </si>
  <si>
    <t>姜玉航</t>
  </si>
  <si>
    <t>25080903010</t>
  </si>
  <si>
    <t>张子函</t>
  </si>
  <si>
    <t>25080903011</t>
  </si>
  <si>
    <t>张泽昌</t>
  </si>
  <si>
    <t>25080903012</t>
  </si>
  <si>
    <t>姜若含</t>
  </si>
  <si>
    <t>25080903013</t>
  </si>
  <si>
    <t>王铮</t>
  </si>
  <si>
    <t>25080903014</t>
  </si>
  <si>
    <t>张耀誉</t>
  </si>
  <si>
    <t>25080903016</t>
  </si>
  <si>
    <t>付俊博</t>
  </si>
  <si>
    <t>25080903017</t>
  </si>
  <si>
    <t>李淑雅</t>
  </si>
  <si>
    <t>25080903018</t>
  </si>
  <si>
    <t>段明涵</t>
  </si>
  <si>
    <t>25080903019</t>
  </si>
  <si>
    <t>黄晟轩</t>
  </si>
  <si>
    <t>25080903021</t>
  </si>
  <si>
    <t>马云晓</t>
  </si>
  <si>
    <t>25080903022</t>
  </si>
  <si>
    <t>王开宇</t>
  </si>
  <si>
    <t>25080903023</t>
  </si>
  <si>
    <t>周亮</t>
  </si>
  <si>
    <t>25080903024</t>
  </si>
  <si>
    <t>刘文硕</t>
  </si>
  <si>
    <t>25080903025</t>
  </si>
  <si>
    <t>薛嘉乐</t>
  </si>
  <si>
    <t>25080903026</t>
  </si>
  <si>
    <t>商久胜</t>
  </si>
  <si>
    <t>25080903027</t>
  </si>
  <si>
    <t>张旖芮</t>
  </si>
  <si>
    <t>25080903028</t>
  </si>
  <si>
    <t>王浩瑞</t>
  </si>
  <si>
    <t>25080903030</t>
  </si>
  <si>
    <t>焦吉硕</t>
  </si>
  <si>
    <t>25080903032</t>
  </si>
  <si>
    <t>贺贞贤</t>
  </si>
  <si>
    <t>25080903033</t>
  </si>
  <si>
    <t>毕家乐</t>
  </si>
  <si>
    <t>25080903034</t>
  </si>
  <si>
    <t>马文佑</t>
  </si>
  <si>
    <t>25080903035</t>
  </si>
  <si>
    <t>朱莉莉</t>
  </si>
  <si>
    <t>25080903036</t>
  </si>
  <si>
    <t>周锦源</t>
  </si>
  <si>
    <t>√、正常、△、迟到、○早退、×缺勤</t>
  </si>
  <si>
    <t>2025.11.25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</si>
</sst>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6"/>
      <color rgb="FF333333"/>
      <name val="宋体"/>
      <charset val="134"/>
    </font>
    <font>
      <sz val="16"/>
      <color theme="1"/>
      <name val="宋体"/>
      <charset val="134"/>
    </font>
    <font>
      <sz val="18"/>
      <color theme="1"/>
      <name val="宋体"/>
      <charset val="134"/>
    </font>
    <font>
      <sz val="26"/>
      <color rgb="FFFF000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rgb="FF333333"/>
      <name val="Arial"/>
      <charset val="134"/>
    </font>
    <font>
      <sz val="9"/>
      <color rgb="FFFF0000"/>
      <name val="等线"/>
      <charset val="134"/>
      <scheme val="minor"/>
    </font>
    <font>
      <sz val="9"/>
      <name val="等线"/>
      <charset val="134"/>
      <scheme val="minor"/>
    </font>
    <font>
      <sz val="9"/>
      <color theme="1"/>
      <name val="等线"/>
      <charset val="134"/>
      <scheme val="minor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9" applyNumberFormat="0" applyAlignment="0" applyProtection="0">
      <alignment vertical="center"/>
    </xf>
    <xf numFmtId="0" fontId="20" fillId="6" borderId="10" applyNumberFormat="0" applyAlignment="0" applyProtection="0">
      <alignment vertical="center"/>
    </xf>
    <xf numFmtId="0" fontId="21" fillId="6" borderId="9" applyNumberFormat="0" applyAlignment="0" applyProtection="0">
      <alignment vertical="center"/>
    </xf>
    <xf numFmtId="0" fontId="22" fillId="7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1" fillId="2" borderId="2" xfId="0" applyFont="1" applyFill="1" applyBorder="1" applyAlignment="1">
      <alignment horizontal="center" vertical="center"/>
    </xf>
    <xf numFmtId="14" fontId="2" fillId="0" borderId="0" xfId="0" applyNumberFormat="1" applyFont="1"/>
    <xf numFmtId="49" fontId="2" fillId="0" borderId="3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49" fontId="9" fillId="0" borderId="3" xfId="0" applyNumberFormat="1" applyFont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top"/>
    </xf>
    <xf numFmtId="0" fontId="6" fillId="2" borderId="4" xfId="0" applyFont="1" applyFill="1" applyBorder="1" applyAlignment="1">
      <alignment horizontal="left" vertical="top"/>
    </xf>
    <xf numFmtId="49" fontId="0" fillId="0" borderId="0" xfId="0" applyNumberFormat="1"/>
    <xf numFmtId="0" fontId="0" fillId="0" borderId="5" xfId="0" applyBorder="1" applyAlignment="1">
      <alignment horizontal="center" vertical="center"/>
    </xf>
    <xf numFmtId="49" fontId="0" fillId="0" borderId="0" xfId="0" applyNumberFormat="1" applyFont="1"/>
    <xf numFmtId="0" fontId="10" fillId="0" borderId="0" xfId="0" applyFont="1" applyAlignment="1"/>
    <xf numFmtId="0" fontId="0" fillId="0" borderId="0" xfId="0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W52"/>
  <sheetViews>
    <sheetView zoomScale="130" zoomScaleNormal="130" workbookViewId="0">
      <pane xSplit="3" topLeftCell="Q1" activePane="topRight" state="frozen"/>
      <selection/>
      <selection pane="topRight" activeCell="B17" sqref="B17:B20"/>
    </sheetView>
  </sheetViews>
  <sheetFormatPr defaultColWidth="9" defaultRowHeight="14.25"/>
  <cols>
    <col min="1" max="1" width="10.25" customWidth="1"/>
    <col min="9" max="9" width="10.125" customWidth="1"/>
  </cols>
  <sheetData>
    <row r="1" spans="1:26">
      <c r="A1" s="10" t="s">
        <v>0</v>
      </c>
      <c r="B1" s="10" t="s">
        <v>1</v>
      </c>
      <c r="C1" s="18" t="s">
        <v>2</v>
      </c>
    </row>
    <row r="2" s="17" customFormat="1" ht="15" spans="1:26">
      <c r="A2" s="11"/>
      <c r="B2" s="11"/>
      <c r="C2" s="18"/>
      <c r="D2" s="17">
        <v>9.15</v>
      </c>
      <c r="E2" s="17">
        <v>9.19</v>
      </c>
      <c r="F2" s="17">
        <v>9.22</v>
      </c>
      <c r="G2" s="17">
        <v>9.26</v>
      </c>
      <c r="H2" s="17">
        <v>9.29</v>
      </c>
      <c r="I2" s="19" t="s">
        <v>3</v>
      </c>
      <c r="J2" s="19" t="s">
        <v>4</v>
      </c>
      <c r="K2" s="17" t="s">
        <v>5</v>
      </c>
      <c r="L2" s="19" t="s">
        <v>6</v>
      </c>
      <c r="M2" s="17" t="s">
        <v>7</v>
      </c>
      <c r="N2" s="17" t="s">
        <v>8</v>
      </c>
      <c r="O2" s="17" t="s">
        <v>9</v>
      </c>
      <c r="P2" s="17" t="s">
        <v>10</v>
      </c>
      <c r="Q2" s="17" t="s">
        <v>11</v>
      </c>
      <c r="R2" s="17" t="s">
        <v>12</v>
      </c>
      <c r="S2" s="17" t="s">
        <v>13</v>
      </c>
      <c r="T2" s="19" t="s">
        <v>14</v>
      </c>
      <c r="U2" s="17" t="s">
        <v>15</v>
      </c>
      <c r="V2" s="17" t="s">
        <v>16</v>
      </c>
      <c r="W2" s="17" t="s">
        <v>17</v>
      </c>
      <c r="X2" s="17" t="s">
        <v>18</v>
      </c>
      <c r="Y2" s="17" t="s">
        <v>19</v>
      </c>
      <c r="Z2" s="17" t="s">
        <v>20</v>
      </c>
    </row>
    <row r="3" ht="15" customHeight="1" spans="1:26">
      <c r="A3" s="14" t="s">
        <v>21</v>
      </c>
      <c r="B3" s="14" t="s">
        <v>22</v>
      </c>
      <c r="C3">
        <f>100-COUNTIF(D3:Z3,"×")*3</f>
        <v>100</v>
      </c>
      <c r="D3" t="s">
        <v>23</v>
      </c>
      <c r="E3" t="s">
        <v>23</v>
      </c>
      <c r="F3" t="s">
        <v>23</v>
      </c>
      <c r="G3" t="s">
        <v>23</v>
      </c>
      <c r="H3" t="s">
        <v>23</v>
      </c>
      <c r="I3" t="s">
        <v>23</v>
      </c>
      <c r="J3" t="s">
        <v>23</v>
      </c>
      <c r="K3" t="s">
        <v>23</v>
      </c>
      <c r="L3" t="s">
        <v>23</v>
      </c>
      <c r="M3" t="s">
        <v>23</v>
      </c>
      <c r="N3" t="s">
        <v>23</v>
      </c>
      <c r="O3" t="s">
        <v>23</v>
      </c>
      <c r="P3" t="s">
        <v>23</v>
      </c>
      <c r="Q3" t="s">
        <v>23</v>
      </c>
      <c r="R3" t="s">
        <v>23</v>
      </c>
      <c r="S3" t="s">
        <v>23</v>
      </c>
      <c r="T3" t="s">
        <v>23</v>
      </c>
      <c r="U3" t="s">
        <v>23</v>
      </c>
      <c r="V3" t="s">
        <v>23</v>
      </c>
      <c r="W3" t="s">
        <v>23</v>
      </c>
      <c r="X3" t="s">
        <v>23</v>
      </c>
      <c r="Y3" t="s">
        <v>23</v>
      </c>
      <c r="Z3" t="s">
        <v>23</v>
      </c>
    </row>
    <row r="4" ht="15" spans="1:26">
      <c r="A4" s="14" t="s">
        <v>24</v>
      </c>
      <c r="B4" s="14" t="s">
        <v>25</v>
      </c>
      <c r="C4">
        <f t="shared" ref="C4:C34" si="0">100-COUNTIF(D4:Z4,"×")*3</f>
        <v>94</v>
      </c>
      <c r="D4" t="s">
        <v>23</v>
      </c>
      <c r="E4" t="s">
        <v>23</v>
      </c>
      <c r="F4" t="s">
        <v>23</v>
      </c>
      <c r="G4" t="s">
        <v>23</v>
      </c>
      <c r="H4" t="s">
        <v>23</v>
      </c>
      <c r="I4" t="s">
        <v>23</v>
      </c>
      <c r="J4" t="s">
        <v>26</v>
      </c>
      <c r="K4" t="s">
        <v>23</v>
      </c>
      <c r="L4" t="s">
        <v>23</v>
      </c>
      <c r="M4" t="s">
        <v>26</v>
      </c>
      <c r="N4" t="s">
        <v>23</v>
      </c>
      <c r="O4" t="s">
        <v>23</v>
      </c>
      <c r="P4" t="s">
        <v>23</v>
      </c>
      <c r="Q4" t="s">
        <v>23</v>
      </c>
      <c r="R4" t="s">
        <v>23</v>
      </c>
      <c r="S4" t="s">
        <v>23</v>
      </c>
      <c r="T4" t="s">
        <v>23</v>
      </c>
      <c r="U4" t="s">
        <v>23</v>
      </c>
      <c r="V4" t="s">
        <v>23</v>
      </c>
      <c r="W4" t="s">
        <v>23</v>
      </c>
      <c r="X4" t="s">
        <v>23</v>
      </c>
      <c r="Y4" t="s">
        <v>23</v>
      </c>
      <c r="Z4" t="s">
        <v>23</v>
      </c>
    </row>
    <row r="5" spans="1:26">
      <c r="A5" s="14" t="s">
        <v>27</v>
      </c>
      <c r="B5" s="14" t="s">
        <v>28</v>
      </c>
      <c r="C5">
        <f t="shared" si="0"/>
        <v>100</v>
      </c>
      <c r="D5" t="s">
        <v>23</v>
      </c>
      <c r="E5" t="s">
        <v>23</v>
      </c>
      <c r="F5" t="s">
        <v>23</v>
      </c>
      <c r="G5" t="s">
        <v>23</v>
      </c>
      <c r="H5" t="s">
        <v>23</v>
      </c>
      <c r="I5" t="s">
        <v>23</v>
      </c>
      <c r="J5" t="s">
        <v>23</v>
      </c>
      <c r="K5" t="s">
        <v>23</v>
      </c>
      <c r="L5" t="s">
        <v>23</v>
      </c>
      <c r="M5" t="s">
        <v>23</v>
      </c>
      <c r="N5" t="s">
        <v>23</v>
      </c>
      <c r="O5" t="s">
        <v>23</v>
      </c>
      <c r="P5" t="s">
        <v>23</v>
      </c>
      <c r="Q5" t="s">
        <v>23</v>
      </c>
      <c r="R5" t="s">
        <v>23</v>
      </c>
      <c r="S5" t="s">
        <v>23</v>
      </c>
      <c r="T5" t="s">
        <v>23</v>
      </c>
      <c r="U5" t="s">
        <v>23</v>
      </c>
      <c r="V5" t="s">
        <v>23</v>
      </c>
      <c r="W5" t="s">
        <v>23</v>
      </c>
      <c r="X5" t="s">
        <v>23</v>
      </c>
      <c r="Y5" t="s">
        <v>23</v>
      </c>
      <c r="Z5" t="s">
        <v>23</v>
      </c>
    </row>
    <row r="6" spans="1:26">
      <c r="A6" s="14" t="s">
        <v>29</v>
      </c>
      <c r="B6" s="14" t="s">
        <v>30</v>
      </c>
      <c r="C6">
        <f t="shared" si="0"/>
        <v>85</v>
      </c>
      <c r="D6" t="s">
        <v>23</v>
      </c>
      <c r="E6" t="s">
        <v>23</v>
      </c>
      <c r="F6" t="s">
        <v>23</v>
      </c>
      <c r="G6" t="s">
        <v>23</v>
      </c>
      <c r="H6" t="s">
        <v>26</v>
      </c>
      <c r="I6" t="s">
        <v>26</v>
      </c>
      <c r="J6" t="s">
        <v>26</v>
      </c>
      <c r="K6" t="s">
        <v>23</v>
      </c>
      <c r="L6" t="s">
        <v>26</v>
      </c>
      <c r="M6" t="s">
        <v>23</v>
      </c>
      <c r="N6" t="s">
        <v>26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  <c r="V6" t="s">
        <v>23</v>
      </c>
      <c r="W6" t="s">
        <v>23</v>
      </c>
      <c r="X6" t="s">
        <v>23</v>
      </c>
      <c r="Y6" t="s">
        <v>23</v>
      </c>
      <c r="Z6" t="s">
        <v>23</v>
      </c>
    </row>
    <row r="7" ht="15" spans="1:26">
      <c r="A7" s="14" t="s">
        <v>31</v>
      </c>
      <c r="B7" s="14" t="s">
        <v>32</v>
      </c>
      <c r="C7">
        <f t="shared" si="0"/>
        <v>97</v>
      </c>
      <c r="D7" t="s">
        <v>23</v>
      </c>
      <c r="E7" t="s">
        <v>23</v>
      </c>
      <c r="F7" t="s">
        <v>23</v>
      </c>
      <c r="G7" t="s">
        <v>23</v>
      </c>
      <c r="H7" t="s">
        <v>23</v>
      </c>
      <c r="I7" t="s">
        <v>23</v>
      </c>
      <c r="J7" t="s">
        <v>23</v>
      </c>
      <c r="K7" t="s">
        <v>23</v>
      </c>
      <c r="L7" t="s">
        <v>23</v>
      </c>
      <c r="M7" t="s">
        <v>26</v>
      </c>
      <c r="N7" t="s">
        <v>23</v>
      </c>
      <c r="O7" t="s">
        <v>23</v>
      </c>
      <c r="P7" t="s">
        <v>23</v>
      </c>
      <c r="Q7" t="s">
        <v>23</v>
      </c>
      <c r="R7" t="s">
        <v>23</v>
      </c>
      <c r="S7" t="s">
        <v>23</v>
      </c>
      <c r="T7" t="s">
        <v>23</v>
      </c>
      <c r="U7" t="s">
        <v>23</v>
      </c>
      <c r="V7" t="s">
        <v>23</v>
      </c>
      <c r="W7" t="s">
        <v>23</v>
      </c>
      <c r="X7" t="s">
        <v>23</v>
      </c>
      <c r="Y7" t="s">
        <v>23</v>
      </c>
      <c r="Z7" t="s">
        <v>23</v>
      </c>
    </row>
    <row r="8" ht="15" spans="1:26">
      <c r="A8" s="14" t="s">
        <v>33</v>
      </c>
      <c r="B8" s="14" t="s">
        <v>34</v>
      </c>
      <c r="C8">
        <f t="shared" si="0"/>
        <v>97</v>
      </c>
      <c r="D8" t="s">
        <v>23</v>
      </c>
      <c r="E8" t="s">
        <v>23</v>
      </c>
      <c r="F8" t="s">
        <v>23</v>
      </c>
      <c r="G8" t="s">
        <v>23</v>
      </c>
      <c r="H8" t="s">
        <v>23</v>
      </c>
      <c r="I8" t="s">
        <v>23</v>
      </c>
      <c r="J8" t="s">
        <v>23</v>
      </c>
      <c r="K8" t="s">
        <v>23</v>
      </c>
      <c r="L8" t="s">
        <v>23</v>
      </c>
      <c r="M8" t="s">
        <v>26</v>
      </c>
      <c r="N8" t="s">
        <v>23</v>
      </c>
      <c r="O8" t="s">
        <v>23</v>
      </c>
      <c r="P8" t="s">
        <v>23</v>
      </c>
      <c r="Q8" t="s">
        <v>23</v>
      </c>
      <c r="R8" t="s">
        <v>23</v>
      </c>
      <c r="S8" t="s">
        <v>23</v>
      </c>
      <c r="T8" t="s">
        <v>23</v>
      </c>
      <c r="U8" t="s">
        <v>23</v>
      </c>
      <c r="V8" t="s">
        <v>23</v>
      </c>
      <c r="W8" t="s">
        <v>23</v>
      </c>
      <c r="X8" t="s">
        <v>23</v>
      </c>
      <c r="Y8" t="s">
        <v>23</v>
      </c>
      <c r="Z8" t="s">
        <v>23</v>
      </c>
    </row>
    <row r="9" ht="15" spans="1:26">
      <c r="A9" s="14" t="s">
        <v>35</v>
      </c>
      <c r="B9" s="14" t="s">
        <v>36</v>
      </c>
      <c r="C9">
        <f t="shared" si="0"/>
        <v>97</v>
      </c>
      <c r="D9" t="s">
        <v>23</v>
      </c>
      <c r="E9" t="s">
        <v>23</v>
      </c>
      <c r="F9" t="s">
        <v>23</v>
      </c>
      <c r="G9" t="s">
        <v>23</v>
      </c>
      <c r="H9" t="s">
        <v>23</v>
      </c>
      <c r="I9" t="s">
        <v>23</v>
      </c>
      <c r="J9" t="s">
        <v>26</v>
      </c>
      <c r="K9" t="s">
        <v>23</v>
      </c>
      <c r="L9" t="s">
        <v>23</v>
      </c>
      <c r="M9" t="s">
        <v>23</v>
      </c>
      <c r="N9" t="s">
        <v>23</v>
      </c>
      <c r="O9" t="s">
        <v>23</v>
      </c>
      <c r="P9" t="s">
        <v>23</v>
      </c>
      <c r="Q9" t="s">
        <v>23</v>
      </c>
      <c r="R9" t="s">
        <v>23</v>
      </c>
      <c r="S9" t="s">
        <v>23</v>
      </c>
      <c r="T9" t="s">
        <v>23</v>
      </c>
      <c r="U9" t="s">
        <v>23</v>
      </c>
      <c r="V9" t="s">
        <v>23</v>
      </c>
      <c r="W9" t="s">
        <v>23</v>
      </c>
      <c r="X9" t="s">
        <v>23</v>
      </c>
      <c r="Y9" t="s">
        <v>23</v>
      </c>
      <c r="Z9" t="s">
        <v>23</v>
      </c>
    </row>
    <row r="10" ht="15" spans="1:26">
      <c r="A10" s="14" t="s">
        <v>37</v>
      </c>
      <c r="B10" s="14" t="s">
        <v>38</v>
      </c>
      <c r="C10">
        <f t="shared" si="0"/>
        <v>97</v>
      </c>
      <c r="D10" t="s">
        <v>23</v>
      </c>
      <c r="E10" t="s">
        <v>23</v>
      </c>
      <c r="F10" t="s">
        <v>23</v>
      </c>
      <c r="G10" t="s">
        <v>23</v>
      </c>
      <c r="H10" t="s">
        <v>23</v>
      </c>
      <c r="I10" t="s">
        <v>23</v>
      </c>
      <c r="J10" t="s">
        <v>26</v>
      </c>
      <c r="K10" t="s">
        <v>23</v>
      </c>
      <c r="L10" t="s">
        <v>23</v>
      </c>
      <c r="M10" t="s">
        <v>23</v>
      </c>
      <c r="N10" t="s">
        <v>23</v>
      </c>
      <c r="O10" t="s">
        <v>23</v>
      </c>
      <c r="P10" t="s">
        <v>23</v>
      </c>
      <c r="Q10" t="s">
        <v>23</v>
      </c>
      <c r="R10" t="s">
        <v>23</v>
      </c>
      <c r="S10" t="s">
        <v>23</v>
      </c>
      <c r="T10" t="s">
        <v>23</v>
      </c>
      <c r="U10" t="s">
        <v>23</v>
      </c>
      <c r="V10" t="s">
        <v>23</v>
      </c>
      <c r="W10" t="s">
        <v>23</v>
      </c>
      <c r="X10" t="s">
        <v>23</v>
      </c>
      <c r="Y10" t="s">
        <v>23</v>
      </c>
      <c r="Z10" t="s">
        <v>23</v>
      </c>
    </row>
    <row r="11" spans="1:26">
      <c r="A11" s="14" t="s">
        <v>39</v>
      </c>
      <c r="B11" s="14" t="s">
        <v>40</v>
      </c>
      <c r="C11">
        <f t="shared" si="0"/>
        <v>88</v>
      </c>
      <c r="D11" t="s">
        <v>23</v>
      </c>
      <c r="E11" t="s">
        <v>23</v>
      </c>
      <c r="F11" t="s">
        <v>23</v>
      </c>
      <c r="G11" t="s">
        <v>23</v>
      </c>
      <c r="H11" t="s">
        <v>26</v>
      </c>
      <c r="I11" t="s">
        <v>23</v>
      </c>
      <c r="J11" t="s">
        <v>23</v>
      </c>
      <c r="K11" t="s">
        <v>23</v>
      </c>
      <c r="L11" t="s">
        <v>23</v>
      </c>
      <c r="M11" t="s">
        <v>23</v>
      </c>
      <c r="N11" t="s">
        <v>23</v>
      </c>
      <c r="O11" t="s">
        <v>23</v>
      </c>
      <c r="P11" t="s">
        <v>23</v>
      </c>
      <c r="Q11" t="s">
        <v>23</v>
      </c>
      <c r="R11" t="s">
        <v>26</v>
      </c>
      <c r="S11" t="s">
        <v>23</v>
      </c>
      <c r="T11" t="s">
        <v>23</v>
      </c>
      <c r="U11" t="s">
        <v>23</v>
      </c>
      <c r="V11" t="s">
        <v>23</v>
      </c>
      <c r="W11" t="s">
        <v>23</v>
      </c>
      <c r="X11" t="s">
        <v>26</v>
      </c>
      <c r="Y11" t="s">
        <v>26</v>
      </c>
      <c r="Z11" t="s">
        <v>23</v>
      </c>
    </row>
    <row r="12" spans="1:26">
      <c r="A12" s="14" t="s">
        <v>41</v>
      </c>
      <c r="B12" s="14" t="s">
        <v>42</v>
      </c>
      <c r="C12">
        <f t="shared" si="0"/>
        <v>100</v>
      </c>
      <c r="D12" t="s">
        <v>23</v>
      </c>
      <c r="E12" t="s">
        <v>23</v>
      </c>
      <c r="F12" t="s">
        <v>23</v>
      </c>
      <c r="G12" t="s">
        <v>23</v>
      </c>
      <c r="H12" t="s">
        <v>23</v>
      </c>
      <c r="I12" t="s">
        <v>23</v>
      </c>
      <c r="J12" t="s">
        <v>23</v>
      </c>
      <c r="K12" t="s">
        <v>23</v>
      </c>
      <c r="L12" t="s">
        <v>23</v>
      </c>
      <c r="M12" t="s">
        <v>23</v>
      </c>
      <c r="N12" t="s">
        <v>23</v>
      </c>
      <c r="O12" t="s">
        <v>23</v>
      </c>
      <c r="P12" t="s">
        <v>23</v>
      </c>
      <c r="Q12" t="s">
        <v>23</v>
      </c>
      <c r="R12" t="s">
        <v>23</v>
      </c>
      <c r="S12" t="s">
        <v>23</v>
      </c>
      <c r="T12" t="s">
        <v>23</v>
      </c>
      <c r="U12" t="s">
        <v>23</v>
      </c>
      <c r="V12" t="s">
        <v>23</v>
      </c>
      <c r="W12" t="s">
        <v>23</v>
      </c>
      <c r="X12" t="s">
        <v>23</v>
      </c>
      <c r="Y12" t="s">
        <v>23</v>
      </c>
      <c r="Z12" t="s">
        <v>23</v>
      </c>
    </row>
    <row r="13" spans="1:26">
      <c r="A13" s="14" t="s">
        <v>43</v>
      </c>
      <c r="B13" s="14" t="s">
        <v>44</v>
      </c>
      <c r="C13">
        <f t="shared" si="0"/>
        <v>97</v>
      </c>
      <c r="D13" t="s">
        <v>23</v>
      </c>
      <c r="E13" t="s">
        <v>23</v>
      </c>
      <c r="F13" t="s">
        <v>23</v>
      </c>
      <c r="G13" t="s">
        <v>23</v>
      </c>
      <c r="H13" t="s">
        <v>23</v>
      </c>
      <c r="I13" t="s">
        <v>23</v>
      </c>
      <c r="J13" t="s">
        <v>23</v>
      </c>
      <c r="K13" t="s">
        <v>23</v>
      </c>
      <c r="L13" t="s">
        <v>23</v>
      </c>
      <c r="M13" t="s">
        <v>23</v>
      </c>
      <c r="N13" t="s">
        <v>23</v>
      </c>
      <c r="O13" t="s">
        <v>23</v>
      </c>
      <c r="P13" t="s">
        <v>23</v>
      </c>
      <c r="Q13" t="s">
        <v>23</v>
      </c>
      <c r="R13" t="s">
        <v>23</v>
      </c>
      <c r="S13" t="s">
        <v>23</v>
      </c>
      <c r="T13" t="s">
        <v>23</v>
      </c>
      <c r="U13" t="s">
        <v>23</v>
      </c>
      <c r="V13" t="s">
        <v>23</v>
      </c>
      <c r="W13" t="s">
        <v>23</v>
      </c>
      <c r="X13" t="s">
        <v>26</v>
      </c>
      <c r="Y13" t="s">
        <v>23</v>
      </c>
      <c r="Z13" t="s">
        <v>23</v>
      </c>
    </row>
    <row r="14" spans="1:26">
      <c r="A14" s="14" t="s">
        <v>45</v>
      </c>
      <c r="B14" s="14" t="s">
        <v>46</v>
      </c>
      <c r="C14">
        <f>110-COUNTIF(D14:Z14,"×")*3</f>
        <v>110</v>
      </c>
      <c r="D14" t="s">
        <v>23</v>
      </c>
      <c r="E14" t="s">
        <v>23</v>
      </c>
      <c r="F14" t="s">
        <v>23</v>
      </c>
      <c r="G14" t="s">
        <v>23</v>
      </c>
      <c r="H14" t="s">
        <v>23</v>
      </c>
      <c r="I14" t="s">
        <v>23</v>
      </c>
      <c r="J14" t="s">
        <v>23</v>
      </c>
      <c r="K14" t="s">
        <v>23</v>
      </c>
      <c r="L14" t="s">
        <v>23</v>
      </c>
      <c r="M14" t="s">
        <v>23</v>
      </c>
      <c r="N14" t="s">
        <v>23</v>
      </c>
      <c r="O14" t="s">
        <v>23</v>
      </c>
      <c r="P14" t="s">
        <v>23</v>
      </c>
      <c r="Q14" t="s">
        <v>23</v>
      </c>
      <c r="R14" t="s">
        <v>23</v>
      </c>
      <c r="S14" t="s">
        <v>23</v>
      </c>
      <c r="T14" t="s">
        <v>23</v>
      </c>
      <c r="U14" t="s">
        <v>23</v>
      </c>
      <c r="V14" t="s">
        <v>23</v>
      </c>
      <c r="W14" t="s">
        <v>23</v>
      </c>
      <c r="X14" t="s">
        <v>23</v>
      </c>
      <c r="Y14" t="s">
        <v>23</v>
      </c>
      <c r="Z14" t="s">
        <v>23</v>
      </c>
    </row>
    <row r="15" spans="1:26">
      <c r="A15" s="14" t="s">
        <v>47</v>
      </c>
      <c r="B15" s="14" t="s">
        <v>48</v>
      </c>
      <c r="C15">
        <f t="shared" si="0"/>
        <v>97</v>
      </c>
      <c r="D15" t="s">
        <v>23</v>
      </c>
      <c r="E15" t="s">
        <v>23</v>
      </c>
      <c r="F15" t="s">
        <v>23</v>
      </c>
      <c r="G15" t="s">
        <v>23</v>
      </c>
      <c r="H15" t="s">
        <v>23</v>
      </c>
      <c r="I15" t="s">
        <v>23</v>
      </c>
      <c r="J15" t="s">
        <v>23</v>
      </c>
      <c r="K15" t="s">
        <v>23</v>
      </c>
      <c r="L15" t="s">
        <v>23</v>
      </c>
      <c r="M15" t="s">
        <v>23</v>
      </c>
      <c r="N15" t="s">
        <v>23</v>
      </c>
      <c r="O15" t="s">
        <v>23</v>
      </c>
      <c r="P15" t="s">
        <v>23</v>
      </c>
      <c r="Q15" t="s">
        <v>23</v>
      </c>
      <c r="R15" t="s">
        <v>23</v>
      </c>
      <c r="S15" t="s">
        <v>23</v>
      </c>
      <c r="T15" t="s">
        <v>23</v>
      </c>
      <c r="U15" t="s">
        <v>23</v>
      </c>
      <c r="V15" t="s">
        <v>26</v>
      </c>
      <c r="W15" t="s">
        <v>23</v>
      </c>
      <c r="X15" t="s">
        <v>23</v>
      </c>
      <c r="Y15" t="s">
        <v>23</v>
      </c>
      <c r="Z15" t="s">
        <v>23</v>
      </c>
    </row>
    <row r="16" spans="1:26">
      <c r="A16" s="14" t="s">
        <v>49</v>
      </c>
      <c r="B16" s="14" t="s">
        <v>50</v>
      </c>
      <c r="C16">
        <f t="shared" si="0"/>
        <v>97</v>
      </c>
      <c r="D16" t="s">
        <v>23</v>
      </c>
      <c r="E16" t="s">
        <v>23</v>
      </c>
      <c r="F16" t="s">
        <v>23</v>
      </c>
      <c r="G16" t="s">
        <v>23</v>
      </c>
      <c r="H16" t="s">
        <v>23</v>
      </c>
      <c r="I16" t="s">
        <v>23</v>
      </c>
      <c r="J16" t="s">
        <v>23</v>
      </c>
      <c r="K16" t="s">
        <v>26</v>
      </c>
      <c r="L16" t="s">
        <v>23</v>
      </c>
      <c r="M16" t="s">
        <v>23</v>
      </c>
      <c r="N16" t="s">
        <v>23</v>
      </c>
      <c r="O16" t="s">
        <v>23</v>
      </c>
      <c r="P16" t="s">
        <v>23</v>
      </c>
      <c r="Q16" t="s">
        <v>23</v>
      </c>
      <c r="R16" t="s">
        <v>23</v>
      </c>
      <c r="S16" t="s">
        <v>23</v>
      </c>
      <c r="T16" t="s">
        <v>23</v>
      </c>
      <c r="U16" t="s">
        <v>23</v>
      </c>
      <c r="V16" t="s">
        <v>23</v>
      </c>
      <c r="W16" t="s">
        <v>23</v>
      </c>
      <c r="X16" t="s">
        <v>23</v>
      </c>
      <c r="Y16" t="s">
        <v>23</v>
      </c>
      <c r="Z16" t="s">
        <v>23</v>
      </c>
    </row>
    <row r="17" spans="1:26">
      <c r="A17" s="14" t="s">
        <v>51</v>
      </c>
      <c r="B17" s="14" t="s">
        <v>52</v>
      </c>
      <c r="C17">
        <f t="shared" si="0"/>
        <v>100</v>
      </c>
      <c r="D17" t="s">
        <v>23</v>
      </c>
      <c r="E17" t="s">
        <v>23</v>
      </c>
      <c r="F17" t="s">
        <v>23</v>
      </c>
      <c r="G17" t="s">
        <v>23</v>
      </c>
      <c r="H17" t="s">
        <v>23</v>
      </c>
      <c r="I17" t="s">
        <v>23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23</v>
      </c>
      <c r="Q17" t="s">
        <v>23</v>
      </c>
      <c r="R17" t="s">
        <v>23</v>
      </c>
      <c r="S17" t="s">
        <v>23</v>
      </c>
      <c r="T17" t="s">
        <v>23</v>
      </c>
      <c r="U17" t="s">
        <v>23</v>
      </c>
      <c r="V17" t="s">
        <v>23</v>
      </c>
      <c r="W17" t="s">
        <v>23</v>
      </c>
      <c r="X17" t="s">
        <v>23</v>
      </c>
      <c r="Y17" t="s">
        <v>23</v>
      </c>
      <c r="Z17" t="s">
        <v>23</v>
      </c>
    </row>
    <row r="18" spans="1:26">
      <c r="A18" s="14" t="s">
        <v>53</v>
      </c>
      <c r="B18" s="14" t="s">
        <v>54</v>
      </c>
      <c r="C18">
        <f t="shared" si="0"/>
        <v>100</v>
      </c>
      <c r="D18" t="s">
        <v>23</v>
      </c>
      <c r="E18" t="s">
        <v>23</v>
      </c>
      <c r="F18" t="s">
        <v>23</v>
      </c>
      <c r="G18" t="s">
        <v>23</v>
      </c>
      <c r="H18" t="s">
        <v>23</v>
      </c>
      <c r="I18" t="s">
        <v>23</v>
      </c>
      <c r="J18" t="s">
        <v>23</v>
      </c>
      <c r="K18" t="s">
        <v>23</v>
      </c>
      <c r="L18" t="s">
        <v>23</v>
      </c>
      <c r="M18" t="s">
        <v>23</v>
      </c>
      <c r="N18" t="s">
        <v>23</v>
      </c>
      <c r="O18" t="s">
        <v>23</v>
      </c>
      <c r="P18" t="s">
        <v>23</v>
      </c>
      <c r="Q18" t="s">
        <v>23</v>
      </c>
      <c r="R18" t="s">
        <v>23</v>
      </c>
      <c r="S18" t="s">
        <v>23</v>
      </c>
      <c r="T18" t="s">
        <v>23</v>
      </c>
      <c r="U18" t="s">
        <v>23</v>
      </c>
      <c r="V18" t="s">
        <v>23</v>
      </c>
      <c r="W18" t="s">
        <v>23</v>
      </c>
      <c r="X18" t="s">
        <v>23</v>
      </c>
      <c r="Y18" t="s">
        <v>23</v>
      </c>
      <c r="Z18" t="s">
        <v>23</v>
      </c>
    </row>
    <row r="19" spans="1:26">
      <c r="A19" s="14" t="s">
        <v>55</v>
      </c>
      <c r="B19" s="14" t="s">
        <v>56</v>
      </c>
      <c r="C19">
        <f t="shared" si="0"/>
        <v>97</v>
      </c>
      <c r="D19" t="s">
        <v>23</v>
      </c>
      <c r="E19" t="s">
        <v>23</v>
      </c>
      <c r="F19" t="s">
        <v>23</v>
      </c>
      <c r="G19" t="s">
        <v>23</v>
      </c>
      <c r="H19" t="s">
        <v>23</v>
      </c>
      <c r="I19" t="s">
        <v>23</v>
      </c>
      <c r="J19" t="s">
        <v>26</v>
      </c>
      <c r="K19" t="s">
        <v>23</v>
      </c>
      <c r="L19" t="s">
        <v>23</v>
      </c>
      <c r="M19" t="s">
        <v>23</v>
      </c>
      <c r="N19" t="s">
        <v>23</v>
      </c>
      <c r="O19" t="s">
        <v>23</v>
      </c>
      <c r="P19" t="s">
        <v>23</v>
      </c>
      <c r="Q19" t="s">
        <v>23</v>
      </c>
      <c r="R19" t="s">
        <v>23</v>
      </c>
      <c r="S19" t="s">
        <v>23</v>
      </c>
      <c r="T19" t="s">
        <v>23</v>
      </c>
      <c r="U19" t="s">
        <v>23</v>
      </c>
      <c r="V19" t="s">
        <v>23</v>
      </c>
      <c r="W19" t="s">
        <v>23</v>
      </c>
      <c r="X19" t="s">
        <v>23</v>
      </c>
      <c r="Y19" t="s">
        <v>23</v>
      </c>
      <c r="Z19" t="s">
        <v>23</v>
      </c>
    </row>
    <row r="20" spans="1:26">
      <c r="A20" s="14" t="s">
        <v>57</v>
      </c>
      <c r="B20" s="14" t="s">
        <v>58</v>
      </c>
      <c r="C20">
        <f t="shared" si="0"/>
        <v>88</v>
      </c>
      <c r="D20" t="s">
        <v>23</v>
      </c>
      <c r="E20" t="s">
        <v>23</v>
      </c>
      <c r="F20" t="s">
        <v>23</v>
      </c>
      <c r="G20" t="s">
        <v>23</v>
      </c>
      <c r="H20" t="s">
        <v>26</v>
      </c>
      <c r="I20" t="s">
        <v>23</v>
      </c>
      <c r="J20" t="s">
        <v>26</v>
      </c>
      <c r="K20" t="s">
        <v>23</v>
      </c>
      <c r="L20" t="s">
        <v>26</v>
      </c>
      <c r="M20" t="s">
        <v>23</v>
      </c>
      <c r="N20" t="s">
        <v>23</v>
      </c>
      <c r="O20" t="s">
        <v>23</v>
      </c>
      <c r="P20" t="s">
        <v>23</v>
      </c>
      <c r="Q20" t="s">
        <v>23</v>
      </c>
      <c r="R20" t="s">
        <v>23</v>
      </c>
      <c r="S20" t="s">
        <v>23</v>
      </c>
      <c r="T20" t="s">
        <v>23</v>
      </c>
      <c r="U20" t="s">
        <v>23</v>
      </c>
      <c r="V20" t="s">
        <v>23</v>
      </c>
      <c r="W20" t="s">
        <v>26</v>
      </c>
      <c r="X20" t="s">
        <v>23</v>
      </c>
      <c r="Y20" t="s">
        <v>23</v>
      </c>
      <c r="Z20" t="s">
        <v>23</v>
      </c>
    </row>
    <row r="21" spans="1:26">
      <c r="A21" s="14" t="s">
        <v>59</v>
      </c>
      <c r="B21" s="14" t="s">
        <v>60</v>
      </c>
      <c r="C21">
        <f t="shared" si="0"/>
        <v>97</v>
      </c>
      <c r="D21" t="s">
        <v>23</v>
      </c>
      <c r="E21" t="s">
        <v>23</v>
      </c>
      <c r="F21" t="s">
        <v>23</v>
      </c>
      <c r="G21" t="s">
        <v>23</v>
      </c>
      <c r="H21" t="s">
        <v>23</v>
      </c>
      <c r="I21" t="s">
        <v>23</v>
      </c>
      <c r="J21" t="s">
        <v>23</v>
      </c>
      <c r="K21" t="s">
        <v>23</v>
      </c>
      <c r="L21" t="s">
        <v>23</v>
      </c>
      <c r="M21" t="s">
        <v>23</v>
      </c>
      <c r="N21" t="s">
        <v>23</v>
      </c>
      <c r="O21" t="s">
        <v>23</v>
      </c>
      <c r="P21" t="s">
        <v>26</v>
      </c>
      <c r="Q21" t="s">
        <v>23</v>
      </c>
      <c r="R21" t="s">
        <v>23</v>
      </c>
      <c r="S21" t="s">
        <v>23</v>
      </c>
      <c r="T21" t="s">
        <v>23</v>
      </c>
      <c r="U21" t="s">
        <v>23</v>
      </c>
      <c r="V21" t="s">
        <v>23</v>
      </c>
      <c r="W21" t="s">
        <v>23</v>
      </c>
      <c r="X21" t="s">
        <v>23</v>
      </c>
      <c r="Y21" t="s">
        <v>23</v>
      </c>
      <c r="Z21" t="s">
        <v>23</v>
      </c>
    </row>
    <row r="22" spans="1:26">
      <c r="A22" s="14" t="s">
        <v>61</v>
      </c>
      <c r="B22" s="14" t="s">
        <v>62</v>
      </c>
      <c r="C22">
        <f t="shared" si="0"/>
        <v>100</v>
      </c>
      <c r="D22" t="s">
        <v>23</v>
      </c>
      <c r="E22" t="s">
        <v>23</v>
      </c>
      <c r="F22" t="s">
        <v>23</v>
      </c>
      <c r="G22" t="s">
        <v>23</v>
      </c>
      <c r="H22" t="s">
        <v>23</v>
      </c>
      <c r="I22" t="s">
        <v>23</v>
      </c>
      <c r="J22" t="s">
        <v>23</v>
      </c>
      <c r="K22" t="s">
        <v>23</v>
      </c>
      <c r="L22" t="s">
        <v>23</v>
      </c>
      <c r="M22" t="s">
        <v>23</v>
      </c>
      <c r="N22" t="s">
        <v>23</v>
      </c>
      <c r="O22" t="s">
        <v>23</v>
      </c>
      <c r="P22" t="s">
        <v>23</v>
      </c>
      <c r="Q22" t="s">
        <v>23</v>
      </c>
      <c r="R22" t="s">
        <v>23</v>
      </c>
      <c r="S22" t="s">
        <v>23</v>
      </c>
      <c r="T22" t="s">
        <v>23</v>
      </c>
      <c r="U22" t="s">
        <v>23</v>
      </c>
      <c r="V22" t="s">
        <v>23</v>
      </c>
      <c r="W22" t="s">
        <v>23</v>
      </c>
      <c r="X22" t="s">
        <v>23</v>
      </c>
      <c r="Y22" t="s">
        <v>23</v>
      </c>
      <c r="Z22" t="s">
        <v>23</v>
      </c>
    </row>
    <row r="23" spans="1:26">
      <c r="A23" s="14" t="s">
        <v>63</v>
      </c>
      <c r="B23" s="14" t="s">
        <v>64</v>
      </c>
      <c r="C23">
        <f t="shared" si="0"/>
        <v>97</v>
      </c>
      <c r="D23" t="s">
        <v>23</v>
      </c>
      <c r="E23" t="s">
        <v>23</v>
      </c>
      <c r="F23" t="s">
        <v>23</v>
      </c>
      <c r="G23" t="s">
        <v>23</v>
      </c>
      <c r="H23" t="s">
        <v>26</v>
      </c>
      <c r="I23" t="s">
        <v>23</v>
      </c>
      <c r="J23" t="s">
        <v>23</v>
      </c>
      <c r="K23" t="s">
        <v>23</v>
      </c>
      <c r="L23" t="s">
        <v>23</v>
      </c>
      <c r="M23" t="s">
        <v>23</v>
      </c>
      <c r="N23" t="s">
        <v>23</v>
      </c>
      <c r="O23" t="s">
        <v>23</v>
      </c>
      <c r="P23" t="s">
        <v>23</v>
      </c>
      <c r="Q23" t="s">
        <v>23</v>
      </c>
      <c r="R23" t="s">
        <v>23</v>
      </c>
      <c r="S23" t="s">
        <v>23</v>
      </c>
      <c r="T23" t="s">
        <v>23</v>
      </c>
      <c r="U23" t="s">
        <v>23</v>
      </c>
      <c r="V23" t="s">
        <v>23</v>
      </c>
      <c r="W23" t="s">
        <v>23</v>
      </c>
      <c r="X23" t="s">
        <v>23</v>
      </c>
      <c r="Y23" t="s">
        <v>23</v>
      </c>
      <c r="Z23" t="s">
        <v>23</v>
      </c>
    </row>
    <row r="24" spans="1:26">
      <c r="A24" s="14" t="s">
        <v>65</v>
      </c>
      <c r="B24" s="14" t="s">
        <v>66</v>
      </c>
      <c r="C24">
        <f t="shared" si="0"/>
        <v>100</v>
      </c>
      <c r="D24" t="s">
        <v>23</v>
      </c>
      <c r="E24" t="s">
        <v>23</v>
      </c>
      <c r="F24" t="s">
        <v>23</v>
      </c>
      <c r="G24" t="s">
        <v>23</v>
      </c>
      <c r="H24" t="s">
        <v>23</v>
      </c>
      <c r="I24" t="s">
        <v>23</v>
      </c>
      <c r="J24" t="s">
        <v>23</v>
      </c>
      <c r="K24" t="s">
        <v>23</v>
      </c>
      <c r="L24" t="s">
        <v>23</v>
      </c>
      <c r="M24" t="s">
        <v>23</v>
      </c>
      <c r="N24" t="s">
        <v>23</v>
      </c>
      <c r="O24" t="s">
        <v>23</v>
      </c>
      <c r="P24" t="s">
        <v>23</v>
      </c>
      <c r="Q24" t="s">
        <v>23</v>
      </c>
      <c r="R24" t="s">
        <v>23</v>
      </c>
      <c r="S24" t="s">
        <v>23</v>
      </c>
      <c r="T24" t="s">
        <v>23</v>
      </c>
      <c r="U24" t="s">
        <v>23</v>
      </c>
      <c r="V24" t="s">
        <v>23</v>
      </c>
      <c r="W24" t="s">
        <v>23</v>
      </c>
      <c r="X24" t="s">
        <v>23</v>
      </c>
      <c r="Y24" t="s">
        <v>23</v>
      </c>
      <c r="Z24" t="s">
        <v>23</v>
      </c>
    </row>
    <row r="25" spans="1:26">
      <c r="A25" s="14" t="s">
        <v>67</v>
      </c>
      <c r="B25" s="14" t="s">
        <v>68</v>
      </c>
      <c r="C25">
        <f t="shared" si="0"/>
        <v>94</v>
      </c>
      <c r="D25" t="s">
        <v>23</v>
      </c>
      <c r="E25" t="s">
        <v>23</v>
      </c>
      <c r="F25" t="s">
        <v>23</v>
      </c>
      <c r="G25" t="s">
        <v>23</v>
      </c>
      <c r="H25" t="s">
        <v>23</v>
      </c>
      <c r="I25" t="s">
        <v>23</v>
      </c>
      <c r="J25" t="s">
        <v>23</v>
      </c>
      <c r="K25" t="s">
        <v>23</v>
      </c>
      <c r="L25" t="s">
        <v>23</v>
      </c>
      <c r="M25" t="s">
        <v>23</v>
      </c>
      <c r="N25" t="s">
        <v>23</v>
      </c>
      <c r="O25" t="s">
        <v>23</v>
      </c>
      <c r="P25" t="s">
        <v>23</v>
      </c>
      <c r="Q25" t="s">
        <v>23</v>
      </c>
      <c r="R25" t="s">
        <v>23</v>
      </c>
      <c r="S25" t="s">
        <v>23</v>
      </c>
      <c r="T25" t="s">
        <v>23</v>
      </c>
      <c r="U25" t="s">
        <v>23</v>
      </c>
      <c r="V25" t="s">
        <v>23</v>
      </c>
      <c r="W25" t="s">
        <v>26</v>
      </c>
      <c r="X25" t="s">
        <v>26</v>
      </c>
      <c r="Y25" t="s">
        <v>23</v>
      </c>
      <c r="Z25" t="s">
        <v>23</v>
      </c>
    </row>
    <row r="26" spans="1:26">
      <c r="A26" s="14" t="s">
        <v>69</v>
      </c>
      <c r="B26" s="14" t="s">
        <v>70</v>
      </c>
      <c r="C26">
        <f t="shared" si="0"/>
        <v>88</v>
      </c>
      <c r="D26" t="s">
        <v>23</v>
      </c>
      <c r="E26" t="s">
        <v>23</v>
      </c>
      <c r="F26" t="s">
        <v>23</v>
      </c>
      <c r="G26" t="s">
        <v>23</v>
      </c>
      <c r="H26" t="s">
        <v>26</v>
      </c>
      <c r="I26" t="s">
        <v>23</v>
      </c>
      <c r="J26" t="s">
        <v>23</v>
      </c>
      <c r="K26" t="s">
        <v>23</v>
      </c>
      <c r="L26" t="s">
        <v>23</v>
      </c>
      <c r="M26" t="s">
        <v>23</v>
      </c>
      <c r="N26" t="s">
        <v>26</v>
      </c>
      <c r="O26" t="s">
        <v>23</v>
      </c>
      <c r="P26" t="s">
        <v>23</v>
      </c>
      <c r="Q26" t="s">
        <v>23</v>
      </c>
      <c r="R26" t="s">
        <v>23</v>
      </c>
      <c r="S26" t="s">
        <v>23</v>
      </c>
      <c r="T26" t="s">
        <v>26</v>
      </c>
      <c r="U26" t="s">
        <v>23</v>
      </c>
      <c r="V26" t="s">
        <v>23</v>
      </c>
      <c r="W26" t="s">
        <v>23</v>
      </c>
      <c r="X26" t="s">
        <v>26</v>
      </c>
      <c r="Y26" t="s">
        <v>23</v>
      </c>
      <c r="Z26" t="s">
        <v>23</v>
      </c>
    </row>
    <row r="27" spans="1:26">
      <c r="A27" s="14" t="s">
        <v>71</v>
      </c>
      <c r="B27" s="14" t="s">
        <v>72</v>
      </c>
      <c r="C27">
        <f t="shared" si="0"/>
        <v>97</v>
      </c>
      <c r="D27" t="s">
        <v>23</v>
      </c>
      <c r="E27" t="s">
        <v>23</v>
      </c>
      <c r="F27" t="s">
        <v>23</v>
      </c>
      <c r="G27" t="s">
        <v>23</v>
      </c>
      <c r="H27" t="s">
        <v>23</v>
      </c>
      <c r="I27" t="s">
        <v>23</v>
      </c>
      <c r="J27" t="s">
        <v>23</v>
      </c>
      <c r="K27" t="s">
        <v>23</v>
      </c>
      <c r="L27" t="s">
        <v>23</v>
      </c>
      <c r="M27" t="s">
        <v>23</v>
      </c>
      <c r="N27" t="s">
        <v>23</v>
      </c>
      <c r="O27" t="s">
        <v>23</v>
      </c>
      <c r="P27" t="s">
        <v>23</v>
      </c>
      <c r="Q27" t="s">
        <v>23</v>
      </c>
      <c r="R27" t="s">
        <v>26</v>
      </c>
      <c r="S27" t="s">
        <v>23</v>
      </c>
      <c r="T27" t="s">
        <v>23</v>
      </c>
      <c r="U27" t="s">
        <v>23</v>
      </c>
      <c r="V27" t="s">
        <v>23</v>
      </c>
      <c r="W27" t="s">
        <v>23</v>
      </c>
      <c r="X27" t="s">
        <v>23</v>
      </c>
      <c r="Y27" t="s">
        <v>23</v>
      </c>
      <c r="Z27" t="s">
        <v>23</v>
      </c>
    </row>
    <row r="28" spans="1:26">
      <c r="A28" s="14" t="s">
        <v>73</v>
      </c>
      <c r="B28" s="14" t="s">
        <v>74</v>
      </c>
      <c r="C28">
        <f t="shared" si="0"/>
        <v>91</v>
      </c>
      <c r="D28" t="s">
        <v>23</v>
      </c>
      <c r="E28" t="s">
        <v>23</v>
      </c>
      <c r="F28" t="s">
        <v>23</v>
      </c>
      <c r="G28" t="s">
        <v>23</v>
      </c>
      <c r="H28" t="s">
        <v>26</v>
      </c>
      <c r="I28" t="s">
        <v>23</v>
      </c>
      <c r="J28" t="s">
        <v>26</v>
      </c>
      <c r="K28" t="s">
        <v>23</v>
      </c>
      <c r="L28" t="s">
        <v>26</v>
      </c>
      <c r="M28" t="s">
        <v>23</v>
      </c>
      <c r="N28" t="s">
        <v>23</v>
      </c>
      <c r="O28" t="s">
        <v>23</v>
      </c>
      <c r="P28" t="s">
        <v>23</v>
      </c>
      <c r="Q28" t="s">
        <v>23</v>
      </c>
      <c r="R28" t="s">
        <v>23</v>
      </c>
      <c r="S28" t="s">
        <v>23</v>
      </c>
      <c r="T28" t="s">
        <v>23</v>
      </c>
      <c r="U28" t="s">
        <v>23</v>
      </c>
      <c r="V28" t="s">
        <v>23</v>
      </c>
      <c r="W28" t="s">
        <v>23</v>
      </c>
      <c r="X28" t="s">
        <v>23</v>
      </c>
      <c r="Y28" t="s">
        <v>23</v>
      </c>
      <c r="Z28" t="s">
        <v>23</v>
      </c>
    </row>
    <row r="29" spans="1:26">
      <c r="A29" s="14" t="s">
        <v>75</v>
      </c>
      <c r="B29" s="14" t="s">
        <v>76</v>
      </c>
      <c r="C29">
        <f t="shared" si="0"/>
        <v>94</v>
      </c>
      <c r="D29" t="s">
        <v>23</v>
      </c>
      <c r="E29" t="s">
        <v>23</v>
      </c>
      <c r="F29" t="s">
        <v>23</v>
      </c>
      <c r="G29" t="s">
        <v>23</v>
      </c>
      <c r="H29" t="s">
        <v>23</v>
      </c>
      <c r="I29" t="s">
        <v>23</v>
      </c>
      <c r="J29" t="s">
        <v>26</v>
      </c>
      <c r="K29" t="s">
        <v>23</v>
      </c>
      <c r="L29" t="s">
        <v>26</v>
      </c>
      <c r="M29" t="s">
        <v>23</v>
      </c>
      <c r="N29" t="s">
        <v>23</v>
      </c>
      <c r="O29" t="s">
        <v>23</v>
      </c>
      <c r="P29" t="s">
        <v>23</v>
      </c>
      <c r="Q29" t="s">
        <v>23</v>
      </c>
      <c r="R29" t="s">
        <v>23</v>
      </c>
      <c r="S29" t="s">
        <v>23</v>
      </c>
      <c r="T29" t="s">
        <v>23</v>
      </c>
      <c r="U29" t="s">
        <v>23</v>
      </c>
      <c r="V29" t="s">
        <v>23</v>
      </c>
      <c r="W29" t="s">
        <v>23</v>
      </c>
      <c r="X29" t="s">
        <v>23</v>
      </c>
      <c r="Y29" t="s">
        <v>23</v>
      </c>
      <c r="Z29" t="s">
        <v>23</v>
      </c>
    </row>
    <row r="30" spans="1:26">
      <c r="A30" s="14" t="s">
        <v>77</v>
      </c>
      <c r="B30" s="14" t="s">
        <v>78</v>
      </c>
      <c r="C30">
        <f t="shared" si="0"/>
        <v>97</v>
      </c>
      <c r="D30" t="s">
        <v>23</v>
      </c>
      <c r="E30" t="s">
        <v>23</v>
      </c>
      <c r="F30" t="s">
        <v>23</v>
      </c>
      <c r="G30" t="s">
        <v>23</v>
      </c>
      <c r="H30" t="s">
        <v>23</v>
      </c>
      <c r="I30" t="s">
        <v>23</v>
      </c>
      <c r="J30" t="s">
        <v>23</v>
      </c>
      <c r="K30" t="s">
        <v>23</v>
      </c>
      <c r="L30" t="s">
        <v>23</v>
      </c>
      <c r="M30" t="s">
        <v>26</v>
      </c>
      <c r="N30" t="s">
        <v>23</v>
      </c>
      <c r="O30" t="s">
        <v>23</v>
      </c>
      <c r="P30" t="s">
        <v>23</v>
      </c>
      <c r="Q30" t="s">
        <v>23</v>
      </c>
      <c r="R30" t="s">
        <v>23</v>
      </c>
      <c r="S30" t="s">
        <v>23</v>
      </c>
      <c r="T30" t="s">
        <v>23</v>
      </c>
      <c r="U30" t="s">
        <v>23</v>
      </c>
      <c r="V30" t="s">
        <v>23</v>
      </c>
      <c r="W30" t="s">
        <v>23</v>
      </c>
      <c r="X30" t="s">
        <v>23</v>
      </c>
      <c r="Y30" t="s">
        <v>23</v>
      </c>
      <c r="Z30" t="s">
        <v>23</v>
      </c>
    </row>
    <row r="31" spans="1:26">
      <c r="A31" s="14" t="s">
        <v>79</v>
      </c>
      <c r="B31" s="14" t="s">
        <v>80</v>
      </c>
      <c r="C31">
        <f t="shared" si="0"/>
        <v>97</v>
      </c>
      <c r="D31" t="s">
        <v>23</v>
      </c>
      <c r="E31" t="s">
        <v>23</v>
      </c>
      <c r="F31" t="s">
        <v>23</v>
      </c>
      <c r="G31" t="s">
        <v>23</v>
      </c>
      <c r="H31" t="s">
        <v>23</v>
      </c>
      <c r="I31" t="s">
        <v>23</v>
      </c>
      <c r="J31" t="s">
        <v>23</v>
      </c>
      <c r="K31" t="s">
        <v>23</v>
      </c>
      <c r="L31" t="s">
        <v>23</v>
      </c>
      <c r="M31" t="s">
        <v>23</v>
      </c>
      <c r="N31" t="s">
        <v>23</v>
      </c>
      <c r="O31" t="s">
        <v>23</v>
      </c>
      <c r="P31" t="s">
        <v>23</v>
      </c>
      <c r="Q31" t="s">
        <v>23</v>
      </c>
      <c r="R31" t="s">
        <v>23</v>
      </c>
      <c r="S31" t="s">
        <v>23</v>
      </c>
      <c r="T31" t="s">
        <v>23</v>
      </c>
      <c r="U31" t="s">
        <v>23</v>
      </c>
      <c r="V31" t="s">
        <v>26</v>
      </c>
      <c r="W31" t="s">
        <v>23</v>
      </c>
      <c r="X31" t="s">
        <v>23</v>
      </c>
      <c r="Y31" t="s">
        <v>23</v>
      </c>
      <c r="Z31" t="s">
        <v>23</v>
      </c>
    </row>
    <row r="32" spans="1:26">
      <c r="A32" s="14" t="s">
        <v>81</v>
      </c>
      <c r="B32" s="14" t="s">
        <v>82</v>
      </c>
      <c r="C32">
        <f t="shared" si="0"/>
        <v>97</v>
      </c>
      <c r="D32" t="s">
        <v>26</v>
      </c>
      <c r="E32" t="s">
        <v>23</v>
      </c>
      <c r="F32" t="s">
        <v>23</v>
      </c>
      <c r="G32" t="s">
        <v>23</v>
      </c>
      <c r="H32" t="s">
        <v>23</v>
      </c>
      <c r="I32" t="s">
        <v>23</v>
      </c>
      <c r="J32" t="s">
        <v>23</v>
      </c>
      <c r="K32" t="s">
        <v>23</v>
      </c>
      <c r="L32" t="s">
        <v>23</v>
      </c>
      <c r="M32" t="s">
        <v>23</v>
      </c>
      <c r="N32" t="s">
        <v>23</v>
      </c>
      <c r="O32" t="s">
        <v>23</v>
      </c>
      <c r="P32" t="s">
        <v>23</v>
      </c>
      <c r="Q32" t="s">
        <v>23</v>
      </c>
      <c r="R32" t="s">
        <v>23</v>
      </c>
      <c r="S32" t="s">
        <v>23</v>
      </c>
      <c r="T32" t="s">
        <v>23</v>
      </c>
      <c r="U32" t="s">
        <v>23</v>
      </c>
      <c r="V32" t="s">
        <v>23</v>
      </c>
      <c r="W32" t="s">
        <v>23</v>
      </c>
      <c r="X32" t="s">
        <v>23</v>
      </c>
      <c r="Y32" t="s">
        <v>23</v>
      </c>
      <c r="Z32" t="s">
        <v>23</v>
      </c>
    </row>
    <row r="33" spans="1:205">
      <c r="A33" s="14" t="s">
        <v>83</v>
      </c>
      <c r="B33" s="14" t="s">
        <v>84</v>
      </c>
      <c r="C33">
        <f t="shared" si="0"/>
        <v>97</v>
      </c>
      <c r="D33" t="s">
        <v>23</v>
      </c>
      <c r="E33" t="s">
        <v>23</v>
      </c>
      <c r="F33" t="s">
        <v>23</v>
      </c>
      <c r="G33" t="s">
        <v>23</v>
      </c>
      <c r="H33" t="s">
        <v>23</v>
      </c>
      <c r="I33" t="s">
        <v>23</v>
      </c>
      <c r="J33" t="s">
        <v>23</v>
      </c>
      <c r="K33" t="s">
        <v>23</v>
      </c>
      <c r="L33" t="s">
        <v>23</v>
      </c>
      <c r="M33" t="s">
        <v>26</v>
      </c>
      <c r="N33" t="s">
        <v>23</v>
      </c>
      <c r="O33" t="s">
        <v>23</v>
      </c>
      <c r="P33" t="s">
        <v>23</v>
      </c>
      <c r="Q33" t="s">
        <v>23</v>
      </c>
      <c r="R33" t="s">
        <v>23</v>
      </c>
      <c r="S33" t="s">
        <v>23</v>
      </c>
      <c r="T33" t="s">
        <v>23</v>
      </c>
      <c r="U33" t="s">
        <v>23</v>
      </c>
      <c r="V33" t="s">
        <v>23</v>
      </c>
      <c r="W33" t="s">
        <v>23</v>
      </c>
      <c r="X33" t="s">
        <v>23</v>
      </c>
      <c r="Y33" t="s">
        <v>23</v>
      </c>
      <c r="Z33" t="s">
        <v>23</v>
      </c>
    </row>
    <row r="34" spans="1:205">
      <c r="A34" s="14" t="s">
        <v>85</v>
      </c>
      <c r="B34" s="14" t="s">
        <v>86</v>
      </c>
      <c r="C34">
        <f t="shared" si="0"/>
        <v>82</v>
      </c>
      <c r="D34" t="s">
        <v>23</v>
      </c>
      <c r="E34" t="s">
        <v>23</v>
      </c>
      <c r="F34" t="s">
        <v>23</v>
      </c>
      <c r="G34" t="s">
        <v>26</v>
      </c>
      <c r="H34" t="s">
        <v>26</v>
      </c>
      <c r="I34" t="s">
        <v>23</v>
      </c>
      <c r="J34" t="s">
        <v>26</v>
      </c>
      <c r="K34" t="s">
        <v>23</v>
      </c>
      <c r="L34" t="s">
        <v>26</v>
      </c>
      <c r="M34" t="s">
        <v>23</v>
      </c>
      <c r="N34" t="s">
        <v>23</v>
      </c>
      <c r="O34" t="s">
        <v>23</v>
      </c>
      <c r="P34" t="s">
        <v>23</v>
      </c>
      <c r="Q34" t="s">
        <v>26</v>
      </c>
      <c r="R34" t="s">
        <v>23</v>
      </c>
      <c r="S34" t="s">
        <v>23</v>
      </c>
      <c r="T34" t="s">
        <v>23</v>
      </c>
      <c r="U34" t="s">
        <v>23</v>
      </c>
      <c r="V34" t="s">
        <v>26</v>
      </c>
      <c r="W34" t="s">
        <v>23</v>
      </c>
      <c r="X34" t="s">
        <v>23</v>
      </c>
      <c r="Y34" t="s">
        <v>23</v>
      </c>
      <c r="Z34" t="s">
        <v>23</v>
      </c>
    </row>
    <row r="35" ht="66" customHeight="1" spans="1:205">
      <c r="A35" s="15"/>
      <c r="B35" s="15"/>
      <c r="D35">
        <f>COUNTIF(D3:D34,"×")</f>
        <v>1</v>
      </c>
      <c r="E35">
        <f t="shared" ref="E35:BP35" si="1">COUNTIF(E3:E34,"×")</f>
        <v>0</v>
      </c>
      <c r="F35">
        <f t="shared" si="1"/>
        <v>0</v>
      </c>
      <c r="G35">
        <f t="shared" si="1"/>
        <v>1</v>
      </c>
      <c r="H35">
        <f t="shared" si="1"/>
        <v>7</v>
      </c>
      <c r="I35">
        <f t="shared" si="1"/>
        <v>1</v>
      </c>
      <c r="J35">
        <f t="shared" si="1"/>
        <v>9</v>
      </c>
      <c r="K35">
        <f t="shared" si="1"/>
        <v>1</v>
      </c>
      <c r="L35">
        <f t="shared" si="1"/>
        <v>5</v>
      </c>
      <c r="M35">
        <f t="shared" si="1"/>
        <v>5</v>
      </c>
      <c r="N35">
        <f t="shared" si="1"/>
        <v>2</v>
      </c>
      <c r="O35">
        <f t="shared" si="1"/>
        <v>0</v>
      </c>
      <c r="P35">
        <f t="shared" si="1"/>
        <v>1</v>
      </c>
      <c r="Q35">
        <f t="shared" si="1"/>
        <v>1</v>
      </c>
      <c r="R35">
        <f t="shared" si="1"/>
        <v>2</v>
      </c>
      <c r="S35">
        <f t="shared" si="1"/>
        <v>0</v>
      </c>
      <c r="T35">
        <f t="shared" si="1"/>
        <v>1</v>
      </c>
      <c r="U35">
        <f t="shared" si="1"/>
        <v>0</v>
      </c>
      <c r="V35">
        <f t="shared" si="1"/>
        <v>3</v>
      </c>
      <c r="W35">
        <f t="shared" si="1"/>
        <v>2</v>
      </c>
      <c r="X35">
        <f t="shared" si="1"/>
        <v>4</v>
      </c>
      <c r="Y35">
        <f t="shared" si="1"/>
        <v>1</v>
      </c>
      <c r="Z35">
        <f t="shared" si="1"/>
        <v>0</v>
      </c>
      <c r="AA35">
        <f t="shared" si="1"/>
        <v>0</v>
      </c>
      <c r="AB35">
        <f t="shared" si="1"/>
        <v>0</v>
      </c>
      <c r="AC35">
        <f t="shared" si="1"/>
        <v>0</v>
      </c>
      <c r="AD35">
        <f t="shared" si="1"/>
        <v>0</v>
      </c>
      <c r="AE35">
        <f t="shared" si="1"/>
        <v>0</v>
      </c>
      <c r="AF35">
        <f t="shared" si="1"/>
        <v>0</v>
      </c>
      <c r="AG35">
        <f t="shared" si="1"/>
        <v>0</v>
      </c>
      <c r="AH35">
        <f t="shared" si="1"/>
        <v>0</v>
      </c>
      <c r="AI35">
        <f t="shared" si="1"/>
        <v>0</v>
      </c>
      <c r="AJ35">
        <f t="shared" si="1"/>
        <v>0</v>
      </c>
      <c r="AK35">
        <f t="shared" si="1"/>
        <v>0</v>
      </c>
      <c r="AL35">
        <f t="shared" si="1"/>
        <v>0</v>
      </c>
      <c r="AM35">
        <f t="shared" si="1"/>
        <v>0</v>
      </c>
      <c r="AN35">
        <f t="shared" si="1"/>
        <v>0</v>
      </c>
      <c r="AO35">
        <f t="shared" si="1"/>
        <v>0</v>
      </c>
      <c r="AP35">
        <f t="shared" si="1"/>
        <v>0</v>
      </c>
      <c r="AQ35">
        <f t="shared" si="1"/>
        <v>0</v>
      </c>
      <c r="AR35">
        <f t="shared" si="1"/>
        <v>0</v>
      </c>
      <c r="AS35">
        <f t="shared" si="1"/>
        <v>0</v>
      </c>
      <c r="AT35">
        <f t="shared" si="1"/>
        <v>0</v>
      </c>
      <c r="AU35">
        <f t="shared" si="1"/>
        <v>0</v>
      </c>
      <c r="AV35">
        <f t="shared" si="1"/>
        <v>0</v>
      </c>
      <c r="AW35">
        <f t="shared" si="1"/>
        <v>0</v>
      </c>
      <c r="AX35">
        <f t="shared" si="1"/>
        <v>0</v>
      </c>
      <c r="AY35">
        <f t="shared" si="1"/>
        <v>0</v>
      </c>
      <c r="AZ35">
        <f t="shared" si="1"/>
        <v>0</v>
      </c>
      <c r="BA35">
        <f t="shared" si="1"/>
        <v>0</v>
      </c>
      <c r="BB35">
        <f t="shared" si="1"/>
        <v>0</v>
      </c>
      <c r="BC35">
        <f t="shared" si="1"/>
        <v>0</v>
      </c>
      <c r="BD35">
        <f t="shared" si="1"/>
        <v>0</v>
      </c>
      <c r="BE35">
        <f t="shared" si="1"/>
        <v>0</v>
      </c>
      <c r="BF35">
        <f t="shared" si="1"/>
        <v>0</v>
      </c>
      <c r="BG35">
        <f t="shared" si="1"/>
        <v>0</v>
      </c>
      <c r="BH35">
        <f t="shared" si="1"/>
        <v>0</v>
      </c>
      <c r="BI35">
        <f t="shared" si="1"/>
        <v>0</v>
      </c>
      <c r="BJ35">
        <f t="shared" si="1"/>
        <v>0</v>
      </c>
      <c r="BK35">
        <f t="shared" si="1"/>
        <v>0</v>
      </c>
      <c r="BL35">
        <f t="shared" si="1"/>
        <v>0</v>
      </c>
      <c r="BM35">
        <f t="shared" si="1"/>
        <v>0</v>
      </c>
      <c r="BN35">
        <f t="shared" si="1"/>
        <v>0</v>
      </c>
      <c r="BO35">
        <f t="shared" si="1"/>
        <v>0</v>
      </c>
      <c r="BP35">
        <f t="shared" si="1"/>
        <v>0</v>
      </c>
      <c r="BQ35">
        <f t="shared" ref="BQ35:EB35" si="2">COUNTIF(BQ3:BQ34,"×")</f>
        <v>0</v>
      </c>
      <c r="BR35">
        <f t="shared" si="2"/>
        <v>0</v>
      </c>
      <c r="BS35">
        <f t="shared" si="2"/>
        <v>0</v>
      </c>
      <c r="BT35">
        <f t="shared" si="2"/>
        <v>0</v>
      </c>
      <c r="BU35">
        <f t="shared" si="2"/>
        <v>0</v>
      </c>
      <c r="BV35">
        <f t="shared" si="2"/>
        <v>0</v>
      </c>
      <c r="BW35">
        <f t="shared" si="2"/>
        <v>0</v>
      </c>
      <c r="BX35">
        <f t="shared" si="2"/>
        <v>0</v>
      </c>
      <c r="BY35">
        <f t="shared" si="2"/>
        <v>0</v>
      </c>
      <c r="BZ35">
        <f t="shared" si="2"/>
        <v>0</v>
      </c>
      <c r="CA35">
        <f t="shared" si="2"/>
        <v>0</v>
      </c>
      <c r="CB35">
        <f t="shared" si="2"/>
        <v>0</v>
      </c>
      <c r="CC35">
        <f t="shared" si="2"/>
        <v>0</v>
      </c>
      <c r="CD35">
        <f t="shared" si="2"/>
        <v>0</v>
      </c>
      <c r="CE35">
        <f t="shared" si="2"/>
        <v>0</v>
      </c>
      <c r="CF35">
        <f t="shared" si="2"/>
        <v>0</v>
      </c>
      <c r="CG35">
        <f t="shared" si="2"/>
        <v>0</v>
      </c>
      <c r="CH35">
        <f t="shared" si="2"/>
        <v>0</v>
      </c>
      <c r="CI35">
        <f t="shared" si="2"/>
        <v>0</v>
      </c>
      <c r="CJ35">
        <f t="shared" si="2"/>
        <v>0</v>
      </c>
      <c r="CK35">
        <f t="shared" si="2"/>
        <v>0</v>
      </c>
      <c r="CL35">
        <f t="shared" si="2"/>
        <v>0</v>
      </c>
      <c r="CM35">
        <f t="shared" si="2"/>
        <v>0</v>
      </c>
      <c r="CN35">
        <f t="shared" si="2"/>
        <v>0</v>
      </c>
      <c r="CO35">
        <f t="shared" si="2"/>
        <v>0</v>
      </c>
      <c r="CP35">
        <f t="shared" si="2"/>
        <v>0</v>
      </c>
      <c r="CQ35">
        <f t="shared" si="2"/>
        <v>0</v>
      </c>
      <c r="CR35">
        <f t="shared" si="2"/>
        <v>0</v>
      </c>
      <c r="CS35">
        <f t="shared" si="2"/>
        <v>0</v>
      </c>
      <c r="CT35">
        <f t="shared" si="2"/>
        <v>0</v>
      </c>
      <c r="CU35">
        <f t="shared" si="2"/>
        <v>0</v>
      </c>
      <c r="CV35">
        <f t="shared" si="2"/>
        <v>0</v>
      </c>
      <c r="CW35">
        <f t="shared" si="2"/>
        <v>0</v>
      </c>
      <c r="CX35">
        <f t="shared" si="2"/>
        <v>0</v>
      </c>
      <c r="CY35">
        <f t="shared" si="2"/>
        <v>0</v>
      </c>
      <c r="CZ35">
        <f t="shared" si="2"/>
        <v>0</v>
      </c>
      <c r="DA35">
        <f t="shared" si="2"/>
        <v>0</v>
      </c>
      <c r="DB35">
        <f t="shared" si="2"/>
        <v>0</v>
      </c>
      <c r="DC35">
        <f t="shared" si="2"/>
        <v>0</v>
      </c>
      <c r="DD35">
        <f t="shared" si="2"/>
        <v>0</v>
      </c>
      <c r="DE35">
        <f t="shared" si="2"/>
        <v>0</v>
      </c>
      <c r="DF35">
        <f t="shared" si="2"/>
        <v>0</v>
      </c>
      <c r="DG35">
        <f t="shared" si="2"/>
        <v>0</v>
      </c>
      <c r="DH35">
        <f t="shared" si="2"/>
        <v>0</v>
      </c>
      <c r="DI35">
        <f t="shared" si="2"/>
        <v>0</v>
      </c>
      <c r="DJ35">
        <f t="shared" si="2"/>
        <v>0</v>
      </c>
      <c r="DK35">
        <f t="shared" si="2"/>
        <v>0</v>
      </c>
      <c r="DL35">
        <f t="shared" si="2"/>
        <v>0</v>
      </c>
      <c r="DM35">
        <f t="shared" si="2"/>
        <v>0</v>
      </c>
      <c r="DN35">
        <f t="shared" si="2"/>
        <v>0</v>
      </c>
      <c r="DO35">
        <f t="shared" si="2"/>
        <v>0</v>
      </c>
      <c r="DP35">
        <f t="shared" si="2"/>
        <v>0</v>
      </c>
      <c r="DQ35">
        <f t="shared" si="2"/>
        <v>0</v>
      </c>
      <c r="DR35">
        <f t="shared" si="2"/>
        <v>0</v>
      </c>
      <c r="DS35">
        <f t="shared" si="2"/>
        <v>0</v>
      </c>
      <c r="DT35">
        <f t="shared" si="2"/>
        <v>0</v>
      </c>
      <c r="DU35">
        <f t="shared" si="2"/>
        <v>0</v>
      </c>
      <c r="DV35">
        <f t="shared" si="2"/>
        <v>0</v>
      </c>
      <c r="DW35">
        <f t="shared" si="2"/>
        <v>0</v>
      </c>
      <c r="DX35">
        <f t="shared" si="2"/>
        <v>0</v>
      </c>
      <c r="DY35">
        <f t="shared" si="2"/>
        <v>0</v>
      </c>
      <c r="DZ35">
        <f t="shared" si="2"/>
        <v>0</v>
      </c>
      <c r="EA35">
        <f t="shared" si="2"/>
        <v>0</v>
      </c>
      <c r="EB35">
        <f t="shared" si="2"/>
        <v>0</v>
      </c>
      <c r="EC35">
        <f t="shared" ref="EC35:GN35" si="3">COUNTIF(EC3:EC34,"×")</f>
        <v>0</v>
      </c>
      <c r="ED35">
        <f t="shared" si="3"/>
        <v>0</v>
      </c>
      <c r="EE35">
        <f t="shared" si="3"/>
        <v>0</v>
      </c>
      <c r="EF35">
        <f t="shared" si="3"/>
        <v>0</v>
      </c>
      <c r="EG35">
        <f t="shared" si="3"/>
        <v>0</v>
      </c>
      <c r="EH35">
        <f t="shared" si="3"/>
        <v>0</v>
      </c>
      <c r="EI35">
        <f t="shared" si="3"/>
        <v>0</v>
      </c>
      <c r="EJ35">
        <f t="shared" si="3"/>
        <v>0</v>
      </c>
      <c r="EK35">
        <f t="shared" si="3"/>
        <v>0</v>
      </c>
      <c r="EL35">
        <f t="shared" si="3"/>
        <v>0</v>
      </c>
      <c r="EM35">
        <f t="shared" si="3"/>
        <v>0</v>
      </c>
      <c r="EN35">
        <f t="shared" si="3"/>
        <v>0</v>
      </c>
      <c r="EO35">
        <f t="shared" si="3"/>
        <v>0</v>
      </c>
      <c r="EP35">
        <f t="shared" si="3"/>
        <v>0</v>
      </c>
      <c r="EQ35">
        <f t="shared" si="3"/>
        <v>0</v>
      </c>
      <c r="ER35">
        <f t="shared" si="3"/>
        <v>0</v>
      </c>
      <c r="ES35">
        <f t="shared" si="3"/>
        <v>0</v>
      </c>
      <c r="ET35">
        <f t="shared" si="3"/>
        <v>0</v>
      </c>
      <c r="EU35">
        <f t="shared" si="3"/>
        <v>0</v>
      </c>
      <c r="EV35">
        <f t="shared" si="3"/>
        <v>0</v>
      </c>
      <c r="EW35">
        <f t="shared" si="3"/>
        <v>0</v>
      </c>
      <c r="EX35">
        <f t="shared" si="3"/>
        <v>0</v>
      </c>
      <c r="EY35">
        <f t="shared" si="3"/>
        <v>0</v>
      </c>
      <c r="EZ35">
        <f t="shared" si="3"/>
        <v>0</v>
      </c>
      <c r="FA35">
        <f t="shared" si="3"/>
        <v>0</v>
      </c>
      <c r="FB35">
        <f t="shared" si="3"/>
        <v>0</v>
      </c>
      <c r="FC35">
        <f t="shared" si="3"/>
        <v>0</v>
      </c>
      <c r="FD35">
        <f t="shared" si="3"/>
        <v>0</v>
      </c>
      <c r="FE35">
        <f t="shared" si="3"/>
        <v>0</v>
      </c>
      <c r="FF35">
        <f t="shared" si="3"/>
        <v>0</v>
      </c>
      <c r="FG35">
        <f t="shared" si="3"/>
        <v>0</v>
      </c>
      <c r="FH35">
        <f t="shared" si="3"/>
        <v>0</v>
      </c>
      <c r="FI35">
        <f t="shared" si="3"/>
        <v>0</v>
      </c>
      <c r="FJ35">
        <f t="shared" si="3"/>
        <v>0</v>
      </c>
      <c r="FK35">
        <f t="shared" si="3"/>
        <v>0</v>
      </c>
      <c r="FL35">
        <f t="shared" si="3"/>
        <v>0</v>
      </c>
      <c r="FM35">
        <f t="shared" si="3"/>
        <v>0</v>
      </c>
      <c r="FN35">
        <f t="shared" si="3"/>
        <v>0</v>
      </c>
      <c r="FO35">
        <f t="shared" si="3"/>
        <v>0</v>
      </c>
      <c r="FP35">
        <f t="shared" si="3"/>
        <v>0</v>
      </c>
      <c r="FQ35">
        <f t="shared" si="3"/>
        <v>0</v>
      </c>
      <c r="FR35">
        <f t="shared" si="3"/>
        <v>0</v>
      </c>
      <c r="FS35">
        <f t="shared" si="3"/>
        <v>0</v>
      </c>
      <c r="FT35">
        <f t="shared" si="3"/>
        <v>0</v>
      </c>
      <c r="FU35">
        <f t="shared" si="3"/>
        <v>0</v>
      </c>
      <c r="FV35">
        <f t="shared" si="3"/>
        <v>0</v>
      </c>
      <c r="FW35">
        <f t="shared" si="3"/>
        <v>0</v>
      </c>
      <c r="FX35">
        <f t="shared" si="3"/>
        <v>0</v>
      </c>
      <c r="FY35">
        <f t="shared" si="3"/>
        <v>0</v>
      </c>
      <c r="FZ35">
        <f t="shared" si="3"/>
        <v>0</v>
      </c>
      <c r="GA35">
        <f t="shared" si="3"/>
        <v>0</v>
      </c>
      <c r="GB35">
        <f t="shared" si="3"/>
        <v>0</v>
      </c>
      <c r="GC35">
        <f t="shared" si="3"/>
        <v>0</v>
      </c>
      <c r="GD35">
        <f t="shared" si="3"/>
        <v>0</v>
      </c>
      <c r="GE35">
        <f t="shared" si="3"/>
        <v>0</v>
      </c>
      <c r="GF35">
        <f t="shared" si="3"/>
        <v>0</v>
      </c>
      <c r="GG35">
        <f t="shared" si="3"/>
        <v>0</v>
      </c>
      <c r="GH35">
        <f t="shared" si="3"/>
        <v>0</v>
      </c>
      <c r="GI35">
        <f t="shared" si="3"/>
        <v>0</v>
      </c>
      <c r="GJ35">
        <f t="shared" si="3"/>
        <v>0</v>
      </c>
      <c r="GK35">
        <f t="shared" si="3"/>
        <v>0</v>
      </c>
      <c r="GL35">
        <f t="shared" si="3"/>
        <v>0</v>
      </c>
      <c r="GM35">
        <f t="shared" si="3"/>
        <v>0</v>
      </c>
      <c r="GN35">
        <f t="shared" si="3"/>
        <v>0</v>
      </c>
      <c r="GO35">
        <f t="shared" ref="GO35:GW35" si="4">COUNTIF(GO3:GO34,"×")</f>
        <v>0</v>
      </c>
      <c r="GP35">
        <f t="shared" si="4"/>
        <v>0</v>
      </c>
      <c r="GQ35">
        <f t="shared" si="4"/>
        <v>0</v>
      </c>
      <c r="GR35">
        <f t="shared" si="4"/>
        <v>0</v>
      </c>
      <c r="GS35">
        <f t="shared" si="4"/>
        <v>0</v>
      </c>
      <c r="GT35">
        <f t="shared" si="4"/>
        <v>0</v>
      </c>
      <c r="GU35">
        <f t="shared" si="4"/>
        <v>0</v>
      </c>
      <c r="GV35">
        <f t="shared" si="4"/>
        <v>0</v>
      </c>
      <c r="GW35">
        <f t="shared" si="4"/>
        <v>0</v>
      </c>
    </row>
    <row r="36" ht="15" spans="1:205">
      <c r="A36" s="16"/>
      <c r="B36" s="16"/>
    </row>
    <row r="37" ht="15" spans="1:205">
      <c r="A37" s="15"/>
      <c r="B37" s="15"/>
    </row>
    <row r="38" ht="30.75" spans="1:205">
      <c r="A38" s="16"/>
      <c r="B38" s="16"/>
      <c r="H38" s="20" t="s">
        <v>87</v>
      </c>
      <c r="I38" s="21"/>
      <c r="J38" s="21"/>
      <c r="K38" s="21"/>
      <c r="L38" s="21"/>
      <c r="M38" s="21"/>
      <c r="N38" s="21"/>
      <c r="O38" s="21"/>
    </row>
    <row r="39" ht="15" spans="1:205">
      <c r="A39" s="15"/>
      <c r="B39" s="15"/>
    </row>
    <row r="40" ht="15" spans="1:205">
      <c r="A40" s="16"/>
      <c r="B40" s="16"/>
    </row>
    <row r="41" ht="15" spans="1:205">
      <c r="A41" s="15"/>
      <c r="B41" s="15"/>
    </row>
    <row r="42" ht="15" spans="1:205">
      <c r="A42" s="16"/>
      <c r="B42" s="16"/>
    </row>
    <row r="43" ht="15" spans="1:205">
      <c r="A43" s="15"/>
      <c r="B43" s="15"/>
    </row>
    <row r="44" ht="15" spans="1:205">
      <c r="A44" s="16"/>
      <c r="B44" s="16"/>
    </row>
    <row r="45" ht="15" spans="1:205">
      <c r="A45" s="15"/>
      <c r="B45" s="15"/>
    </row>
    <row r="46" ht="15" spans="1:205">
      <c r="A46" s="16"/>
      <c r="B46" s="16"/>
    </row>
    <row r="47" ht="15" spans="1:205">
      <c r="A47" s="15"/>
      <c r="B47" s="15"/>
    </row>
    <row r="48" ht="15" spans="1:205">
      <c r="A48" s="16"/>
      <c r="B48" s="16"/>
    </row>
    <row r="49" ht="15" spans="1:15">
      <c r="A49" s="15"/>
      <c r="B49" s="15"/>
    </row>
    <row r="50" ht="78" customHeight="1" spans="1:15">
      <c r="D50">
        <f>COUNTIF(D3:D49,"×")</f>
        <v>1</v>
      </c>
      <c r="E50">
        <f t="shared" ref="E50:O50" si="5">COUNTIF(E3:E49,"×")</f>
        <v>0</v>
      </c>
      <c r="F50">
        <f t="shared" si="5"/>
        <v>0</v>
      </c>
      <c r="G50">
        <f t="shared" si="5"/>
        <v>1</v>
      </c>
      <c r="H50">
        <f t="shared" si="5"/>
        <v>7</v>
      </c>
      <c r="I50">
        <f t="shared" si="5"/>
        <v>1</v>
      </c>
      <c r="J50">
        <f t="shared" si="5"/>
        <v>9</v>
      </c>
      <c r="K50">
        <f t="shared" si="5"/>
        <v>1</v>
      </c>
      <c r="L50">
        <f t="shared" si="5"/>
        <v>5</v>
      </c>
      <c r="M50">
        <f t="shared" si="5"/>
        <v>5</v>
      </c>
      <c r="N50">
        <f t="shared" si="5"/>
        <v>2</v>
      </c>
      <c r="O50">
        <f t="shared" si="5"/>
        <v>0</v>
      </c>
    </row>
    <row r="52" ht="30" spans="1:15">
      <c r="H52" s="20" t="s">
        <v>87</v>
      </c>
      <c r="I52" s="21"/>
      <c r="J52" s="21"/>
      <c r="K52" s="21"/>
      <c r="L52" s="21"/>
      <c r="M52" s="21"/>
      <c r="N52" s="21"/>
      <c r="O52" s="21"/>
    </row>
  </sheetData>
  <mergeCells count="5">
    <mergeCell ref="H38:O38"/>
    <mergeCell ref="H52:O52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9"/>
  <sheetViews>
    <sheetView tabSelected="1" workbookViewId="0">
      <selection activeCell="G6" sqref="G6"/>
    </sheetView>
  </sheetViews>
  <sheetFormatPr defaultColWidth="9" defaultRowHeight="14.25" outlineLevelCol="6"/>
  <cols>
    <col min="1" max="1" width="10.25" customWidth="1"/>
  </cols>
  <sheetData>
    <row r="1" spans="1:7">
      <c r="A1" s="10" t="s">
        <v>0</v>
      </c>
      <c r="B1" s="10" t="s">
        <v>1</v>
      </c>
    </row>
    <row r="2" ht="15" spans="1:7">
      <c r="A2" s="11"/>
      <c r="B2" s="11"/>
      <c r="D2">
        <v>11.17</v>
      </c>
      <c r="E2">
        <v>11.24</v>
      </c>
      <c r="F2">
        <v>12.1</v>
      </c>
      <c r="G2">
        <v>12.08</v>
      </c>
    </row>
    <row r="3" ht="15.75" spans="1:7">
      <c r="A3" s="12" t="s">
        <v>21</v>
      </c>
      <c r="B3" s="12" t="s">
        <v>22</v>
      </c>
      <c r="C3" s="13" t="s">
        <v>22</v>
      </c>
      <c r="D3" s="12" t="s">
        <v>28</v>
      </c>
      <c r="E3" s="14" t="s">
        <v>36</v>
      </c>
      <c r="F3" s="14" t="s">
        <v>44</v>
      </c>
      <c r="G3" s="14" t="s">
        <v>52</v>
      </c>
    </row>
    <row r="4" ht="15" spans="1:7">
      <c r="A4" s="12" t="s">
        <v>24</v>
      </c>
      <c r="B4" s="12" t="s">
        <v>25</v>
      </c>
      <c r="C4" s="13" t="s">
        <v>25</v>
      </c>
      <c r="D4" s="12" t="s">
        <v>30</v>
      </c>
      <c r="E4" s="14" t="s">
        <v>38</v>
      </c>
      <c r="F4" s="14" t="s">
        <v>46</v>
      </c>
      <c r="G4" s="14" t="s">
        <v>54</v>
      </c>
    </row>
    <row r="5" ht="15" spans="1:7">
      <c r="A5" s="12" t="s">
        <v>27</v>
      </c>
      <c r="B5" s="12" t="s">
        <v>28</v>
      </c>
      <c r="D5" s="12" t="s">
        <v>32</v>
      </c>
      <c r="E5" s="14" t="s">
        <v>40</v>
      </c>
      <c r="F5" s="14" t="s">
        <v>48</v>
      </c>
      <c r="G5" s="14" t="s">
        <v>56</v>
      </c>
    </row>
    <row r="6" ht="15" spans="1:7">
      <c r="A6" s="12" t="s">
        <v>29</v>
      </c>
      <c r="B6" s="12" t="s">
        <v>30</v>
      </c>
      <c r="D6" s="12" t="s">
        <v>34</v>
      </c>
      <c r="E6" s="14" t="s">
        <v>42</v>
      </c>
      <c r="F6" s="14" t="s">
        <v>50</v>
      </c>
      <c r="G6" s="14" t="s">
        <v>58</v>
      </c>
    </row>
    <row r="7" ht="15" spans="1:7">
      <c r="A7" s="12" t="s">
        <v>31</v>
      </c>
      <c r="B7" s="12" t="s">
        <v>32</v>
      </c>
    </row>
    <row r="8" ht="15" spans="1:7">
      <c r="A8" s="12" t="s">
        <v>33</v>
      </c>
      <c r="B8" s="12" t="s">
        <v>34</v>
      </c>
    </row>
    <row r="9" ht="15" spans="1:7">
      <c r="A9" s="12" t="s">
        <v>35</v>
      </c>
      <c r="B9" s="12" t="s">
        <v>36</v>
      </c>
    </row>
    <row r="10" ht="15" spans="1:7">
      <c r="A10" s="12" t="s">
        <v>37</v>
      </c>
      <c r="B10" s="12" t="s">
        <v>38</v>
      </c>
    </row>
    <row r="11" ht="15" spans="1:7">
      <c r="A11" s="12" t="s">
        <v>39</v>
      </c>
      <c r="B11" s="12" t="s">
        <v>40</v>
      </c>
    </row>
    <row r="12" ht="15" spans="1:7">
      <c r="A12" s="12" t="s">
        <v>41</v>
      </c>
      <c r="B12" s="12" t="s">
        <v>42</v>
      </c>
    </row>
    <row r="13" ht="15" spans="1:7">
      <c r="A13" s="12" t="s">
        <v>43</v>
      </c>
      <c r="B13" s="12" t="s">
        <v>44</v>
      </c>
    </row>
    <row r="14" ht="15" spans="1:7">
      <c r="A14" s="12" t="s">
        <v>45</v>
      </c>
      <c r="B14" s="12" t="s">
        <v>46</v>
      </c>
    </row>
    <row r="15" ht="15" spans="1:7">
      <c r="A15" s="12" t="s">
        <v>47</v>
      </c>
      <c r="B15" s="12" t="s">
        <v>48</v>
      </c>
    </row>
    <row r="16" s="8" customFormat="1" ht="15" spans="1:7">
      <c r="A16" s="12" t="s">
        <v>49</v>
      </c>
      <c r="B16" s="12" t="s">
        <v>50</v>
      </c>
    </row>
    <row r="17" s="8" customFormat="1" ht="15" spans="1:2">
      <c r="A17" s="12" t="s">
        <v>51</v>
      </c>
      <c r="B17" s="12" t="s">
        <v>52</v>
      </c>
    </row>
    <row r="18" s="8" customFormat="1" ht="15" spans="1:2">
      <c r="A18" s="12" t="s">
        <v>53</v>
      </c>
      <c r="B18" s="12" t="s">
        <v>54</v>
      </c>
    </row>
    <row r="19" s="9" customFormat="1" ht="15" spans="1:2">
      <c r="A19" s="14" t="s">
        <v>55</v>
      </c>
      <c r="B19" s="12" t="s">
        <v>56</v>
      </c>
    </row>
    <row r="20" s="9" customFormat="1" ht="15" spans="1:2">
      <c r="A20" s="14" t="s">
        <v>57</v>
      </c>
      <c r="B20" s="12" t="s">
        <v>58</v>
      </c>
    </row>
    <row r="21" s="8" customFormat="1" ht="15" spans="1:2">
      <c r="A21" s="12" t="s">
        <v>59</v>
      </c>
      <c r="B21" s="12" t="s">
        <v>60</v>
      </c>
    </row>
    <row r="22" ht="15" spans="1:2">
      <c r="A22" s="14" t="s">
        <v>61</v>
      </c>
      <c r="B22" s="12" t="s">
        <v>62</v>
      </c>
    </row>
    <row r="23" ht="15" spans="1:2">
      <c r="A23" s="14" t="s">
        <v>63</v>
      </c>
      <c r="B23" s="12" t="s">
        <v>64</v>
      </c>
    </row>
    <row r="24" ht="15" spans="1:2">
      <c r="A24" s="14" t="s">
        <v>65</v>
      </c>
      <c r="B24" s="12" t="s">
        <v>66</v>
      </c>
    </row>
    <row r="25" ht="15" spans="1:2">
      <c r="A25" s="14" t="s">
        <v>67</v>
      </c>
      <c r="B25" s="12" t="s">
        <v>68</v>
      </c>
    </row>
    <row r="26" ht="15" spans="1:2">
      <c r="A26" s="14" t="s">
        <v>69</v>
      </c>
      <c r="B26" s="12" t="s">
        <v>70</v>
      </c>
    </row>
    <row r="27" ht="15" spans="1:2">
      <c r="A27" s="14" t="s">
        <v>71</v>
      </c>
      <c r="B27" s="12" t="s">
        <v>72</v>
      </c>
    </row>
    <row r="28" ht="15" spans="1:2">
      <c r="A28" s="14" t="s">
        <v>73</v>
      </c>
      <c r="B28" s="12" t="s">
        <v>74</v>
      </c>
    </row>
    <row r="29" ht="15" spans="1:2">
      <c r="A29" s="14" t="s">
        <v>75</v>
      </c>
      <c r="B29" s="12" t="s">
        <v>76</v>
      </c>
    </row>
    <row r="30" ht="15" spans="1:2">
      <c r="A30" s="14" t="s">
        <v>77</v>
      </c>
      <c r="B30" s="12" t="s">
        <v>78</v>
      </c>
    </row>
    <row r="31" ht="15" spans="1:2">
      <c r="A31" s="14" t="s">
        <v>79</v>
      </c>
      <c r="B31" s="12" t="s">
        <v>80</v>
      </c>
    </row>
    <row r="32" ht="15" spans="1:2">
      <c r="A32" s="14" t="s">
        <v>81</v>
      </c>
      <c r="B32" s="14" t="s">
        <v>82</v>
      </c>
    </row>
    <row r="33" ht="15" spans="1:2">
      <c r="A33" s="14" t="s">
        <v>83</v>
      </c>
      <c r="B33" s="14" t="s">
        <v>84</v>
      </c>
    </row>
    <row r="34" ht="15" spans="1:2">
      <c r="A34" s="14" t="s">
        <v>85</v>
      </c>
      <c r="B34" s="12" t="s">
        <v>86</v>
      </c>
    </row>
    <row r="35" ht="15" spans="1:2">
      <c r="A35" s="15"/>
      <c r="B35" s="15"/>
    </row>
    <row r="36" ht="15" spans="1:2">
      <c r="A36" s="16"/>
      <c r="B36" s="16"/>
    </row>
    <row r="37" ht="15" spans="1:2">
      <c r="A37" s="15"/>
      <c r="B37" s="15"/>
    </row>
    <row r="38" ht="15" spans="1:2">
      <c r="A38" s="16"/>
      <c r="B38" s="16"/>
    </row>
    <row r="39" ht="15" spans="1:2">
      <c r="A39" s="15"/>
      <c r="B39" s="15"/>
    </row>
    <row r="40" ht="15" spans="1:2">
      <c r="A40" s="16"/>
      <c r="B40" s="16"/>
    </row>
    <row r="41" ht="15" spans="1:2">
      <c r="A41" s="15"/>
      <c r="B41" s="15"/>
    </row>
    <row r="42" ht="15" spans="1:2">
      <c r="A42" s="16"/>
      <c r="B42" s="16"/>
    </row>
    <row r="43" ht="15" spans="1:2">
      <c r="A43" s="15"/>
      <c r="B43" s="15"/>
    </row>
    <row r="44" ht="15" spans="1:2">
      <c r="A44" s="16"/>
      <c r="B44" s="16"/>
    </row>
    <row r="45" ht="15" spans="1:2">
      <c r="A45" s="15"/>
      <c r="B45" s="15"/>
    </row>
    <row r="46" ht="15" spans="1:2">
      <c r="A46" s="16"/>
      <c r="B46" s="16"/>
    </row>
    <row r="47" ht="15" spans="1:2">
      <c r="A47" s="15"/>
      <c r="B47" s="15"/>
    </row>
    <row r="48" ht="15" spans="1:2">
      <c r="A48" s="16"/>
      <c r="B48" s="16"/>
    </row>
    <row r="49" ht="15" spans="1:2">
      <c r="A49" s="15"/>
      <c r="B49" s="15"/>
    </row>
  </sheetData>
  <mergeCells count="2">
    <mergeCell ref="A1:A2"/>
    <mergeCell ref="B1:B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D34" sqref="D34"/>
    </sheetView>
  </sheetViews>
  <sheetFormatPr defaultColWidth="9" defaultRowHeight="14.25" outlineLevelCol="3"/>
  <cols>
    <col min="1" max="1" width="16" customWidth="1"/>
    <col min="2" max="2" width="10.5" customWidth="1"/>
    <col min="3" max="3" width="27.375" customWidth="1"/>
    <col min="4" max="4" width="16.125" customWidth="1"/>
  </cols>
  <sheetData>
    <row r="1" ht="20.25" spans="1:4">
      <c r="A1" s="1" t="s">
        <v>0</v>
      </c>
      <c r="B1" s="1" t="s">
        <v>1</v>
      </c>
      <c r="C1" s="2"/>
    </row>
    <row r="2" ht="21" spans="1:4">
      <c r="A2" s="3"/>
      <c r="B2" s="3"/>
      <c r="C2" s="4">
        <v>45959</v>
      </c>
      <c r="D2" s="4" t="s">
        <v>88</v>
      </c>
    </row>
    <row r="3" ht="24" spans="1:4">
      <c r="A3" s="5" t="s">
        <v>21</v>
      </c>
      <c r="B3" s="5" t="s">
        <v>22</v>
      </c>
      <c r="C3" s="6" t="s">
        <v>23</v>
      </c>
      <c r="D3" s="6" t="s">
        <v>23</v>
      </c>
    </row>
    <row r="4" ht="23.25" spans="1:4">
      <c r="A4" s="5" t="s">
        <v>24</v>
      </c>
      <c r="B4" s="5" t="s">
        <v>25</v>
      </c>
      <c r="C4" s="6" t="s">
        <v>23</v>
      </c>
      <c r="D4" s="6" t="s">
        <v>23</v>
      </c>
    </row>
    <row r="5" ht="23.25" spans="1:4">
      <c r="A5" s="5" t="s">
        <v>27</v>
      </c>
      <c r="B5" s="5" t="s">
        <v>28</v>
      </c>
      <c r="C5" s="6" t="s">
        <v>23</v>
      </c>
      <c r="D5" s="6" t="s">
        <v>23</v>
      </c>
    </row>
    <row r="6" ht="23.25" spans="1:4">
      <c r="A6" s="5" t="s">
        <v>29</v>
      </c>
      <c r="B6" s="5" t="s">
        <v>30</v>
      </c>
      <c r="C6" s="6" t="s">
        <v>23</v>
      </c>
      <c r="D6" s="6" t="s">
        <v>23</v>
      </c>
    </row>
    <row r="7" ht="23.25" spans="1:4">
      <c r="A7" s="5" t="s">
        <v>31</v>
      </c>
      <c r="B7" s="5" t="s">
        <v>32</v>
      </c>
      <c r="C7" s="6" t="s">
        <v>23</v>
      </c>
      <c r="D7" s="6" t="s">
        <v>23</v>
      </c>
    </row>
    <row r="8" ht="23.25" spans="1:4">
      <c r="A8" s="5" t="s">
        <v>33</v>
      </c>
      <c r="B8" s="5" t="s">
        <v>34</v>
      </c>
      <c r="C8" s="6" t="s">
        <v>23</v>
      </c>
      <c r="D8" s="6" t="s">
        <v>23</v>
      </c>
    </row>
    <row r="9" ht="23.25" spans="1:4">
      <c r="A9" s="5" t="s">
        <v>35</v>
      </c>
      <c r="B9" s="5" t="s">
        <v>36</v>
      </c>
      <c r="C9" s="6" t="s">
        <v>23</v>
      </c>
      <c r="D9" s="6" t="s">
        <v>23</v>
      </c>
    </row>
    <row r="10" ht="23.25" spans="1:4">
      <c r="A10" s="5" t="s">
        <v>37</v>
      </c>
      <c r="B10" s="5" t="s">
        <v>38</v>
      </c>
      <c r="C10" s="6" t="s">
        <v>23</v>
      </c>
      <c r="D10" s="6" t="s">
        <v>23</v>
      </c>
    </row>
    <row r="11" ht="33.75" spans="1:4">
      <c r="A11" s="5" t="s">
        <v>39</v>
      </c>
      <c r="B11" s="5" t="s">
        <v>40</v>
      </c>
      <c r="C11" s="7" t="s">
        <v>26</v>
      </c>
      <c r="D11" s="6" t="s">
        <v>23</v>
      </c>
    </row>
    <row r="12" ht="23.25" spans="1:4">
      <c r="A12" s="5" t="s">
        <v>41</v>
      </c>
      <c r="B12" s="5" t="s">
        <v>42</v>
      </c>
      <c r="C12" s="6" t="s">
        <v>23</v>
      </c>
      <c r="D12" s="6" t="s">
        <v>23</v>
      </c>
    </row>
    <row r="13" ht="33.75" spans="1:4">
      <c r="A13" s="5" t="s">
        <v>43</v>
      </c>
      <c r="B13" s="5" t="s">
        <v>44</v>
      </c>
      <c r="C13" s="7" t="s">
        <v>26</v>
      </c>
      <c r="D13" s="7" t="s">
        <v>26</v>
      </c>
    </row>
    <row r="14" ht="23.25" spans="1:4">
      <c r="A14" s="5" t="s">
        <v>45</v>
      </c>
      <c r="B14" s="5" t="s">
        <v>46</v>
      </c>
      <c r="C14" s="6" t="s">
        <v>23</v>
      </c>
      <c r="D14" s="6" t="s">
        <v>23</v>
      </c>
    </row>
    <row r="15" ht="23.25" spans="1:4">
      <c r="A15" s="5" t="s">
        <v>47</v>
      </c>
      <c r="B15" s="5" t="s">
        <v>48</v>
      </c>
      <c r="C15" s="6" t="s">
        <v>23</v>
      </c>
      <c r="D15" s="6" t="s">
        <v>23</v>
      </c>
    </row>
    <row r="16" ht="23.25" spans="1:4">
      <c r="A16" s="5" t="s">
        <v>49</v>
      </c>
      <c r="B16" s="5" t="s">
        <v>50</v>
      </c>
      <c r="C16" s="6" t="s">
        <v>23</v>
      </c>
      <c r="D16" s="6" t="s">
        <v>23</v>
      </c>
    </row>
    <row r="17" ht="23.25" spans="1:4">
      <c r="A17" s="5" t="s">
        <v>51</v>
      </c>
      <c r="B17" s="5" t="s">
        <v>52</v>
      </c>
      <c r="C17" s="6" t="s">
        <v>23</v>
      </c>
      <c r="D17" s="6" t="s">
        <v>23</v>
      </c>
    </row>
    <row r="18" ht="23.25" spans="1:4">
      <c r="A18" s="5" t="s">
        <v>53</v>
      </c>
      <c r="B18" s="5" t="s">
        <v>54</v>
      </c>
      <c r="C18" s="6" t="s">
        <v>23</v>
      </c>
      <c r="D18" s="6" t="s">
        <v>23</v>
      </c>
    </row>
    <row r="19" ht="23.25" spans="1:4">
      <c r="A19" s="5" t="s">
        <v>55</v>
      </c>
      <c r="B19" s="5" t="s">
        <v>56</v>
      </c>
      <c r="C19" s="6" t="s">
        <v>23</v>
      </c>
      <c r="D19" s="6" t="s">
        <v>23</v>
      </c>
    </row>
    <row r="20" ht="23.25" spans="1:4">
      <c r="A20" s="5" t="s">
        <v>57</v>
      </c>
      <c r="B20" s="5" t="s">
        <v>58</v>
      </c>
      <c r="C20" s="6" t="s">
        <v>23</v>
      </c>
      <c r="D20" s="6" t="s">
        <v>23</v>
      </c>
    </row>
    <row r="21" ht="23.25" spans="1:4">
      <c r="A21" s="5" t="s">
        <v>59</v>
      </c>
      <c r="B21" s="5" t="s">
        <v>60</v>
      </c>
      <c r="C21" s="6" t="s">
        <v>23</v>
      </c>
      <c r="D21" s="6" t="s">
        <v>23</v>
      </c>
    </row>
    <row r="22" ht="23.25" spans="1:4">
      <c r="A22" s="5" t="s">
        <v>61</v>
      </c>
      <c r="B22" s="5" t="s">
        <v>62</v>
      </c>
      <c r="C22" s="6" t="s">
        <v>23</v>
      </c>
      <c r="D22" s="6" t="s">
        <v>23</v>
      </c>
    </row>
    <row r="23" ht="23.25" spans="1:4">
      <c r="A23" s="5" t="s">
        <v>63</v>
      </c>
      <c r="B23" s="5" t="s">
        <v>64</v>
      </c>
      <c r="C23" s="6" t="s">
        <v>23</v>
      </c>
      <c r="D23" s="6" t="s">
        <v>23</v>
      </c>
    </row>
    <row r="24" ht="23.25" spans="1:4">
      <c r="A24" s="5" t="s">
        <v>65</v>
      </c>
      <c r="B24" s="5" t="s">
        <v>66</v>
      </c>
      <c r="C24" s="6" t="s">
        <v>23</v>
      </c>
      <c r="D24" s="6" t="s">
        <v>23</v>
      </c>
    </row>
    <row r="25" ht="33.75" spans="1:4">
      <c r="A25" s="5" t="s">
        <v>67</v>
      </c>
      <c r="B25" s="5" t="s">
        <v>68</v>
      </c>
      <c r="C25" s="7" t="s">
        <v>26</v>
      </c>
      <c r="D25" s="7" t="s">
        <v>26</v>
      </c>
    </row>
    <row r="26" ht="33.75" spans="1:4">
      <c r="A26" s="5" t="s">
        <v>69</v>
      </c>
      <c r="B26" s="5" t="s">
        <v>70</v>
      </c>
      <c r="C26" s="6" t="s">
        <v>23</v>
      </c>
      <c r="D26" s="7" t="s">
        <v>26</v>
      </c>
    </row>
    <row r="27" ht="23.25" spans="1:4">
      <c r="A27" s="5" t="s">
        <v>71</v>
      </c>
      <c r="B27" s="5" t="s">
        <v>72</v>
      </c>
      <c r="C27" s="6" t="s">
        <v>23</v>
      </c>
      <c r="D27" s="6" t="s">
        <v>23</v>
      </c>
    </row>
    <row r="28" ht="33.75" spans="1:4">
      <c r="A28" s="5" t="s">
        <v>73</v>
      </c>
      <c r="B28" s="5" t="s">
        <v>74</v>
      </c>
      <c r="C28" s="6" t="s">
        <v>23</v>
      </c>
      <c r="D28" s="7" t="s">
        <v>26</v>
      </c>
    </row>
    <row r="29" ht="23.25" spans="1:4">
      <c r="A29" s="5" t="s">
        <v>75</v>
      </c>
      <c r="B29" s="5" t="s">
        <v>76</v>
      </c>
      <c r="C29" s="6" t="s">
        <v>23</v>
      </c>
      <c r="D29" s="6" t="s">
        <v>23</v>
      </c>
    </row>
    <row r="30" ht="23.25" spans="1:4">
      <c r="A30" s="5" t="s">
        <v>77</v>
      </c>
      <c r="B30" s="5" t="s">
        <v>78</v>
      </c>
      <c r="C30" s="6" t="s">
        <v>23</v>
      </c>
      <c r="D30" s="6" t="s">
        <v>23</v>
      </c>
    </row>
    <row r="31" ht="23.25" spans="1:4">
      <c r="A31" s="5" t="s">
        <v>79</v>
      </c>
      <c r="B31" s="5" t="s">
        <v>80</v>
      </c>
      <c r="C31" s="6" t="s">
        <v>23</v>
      </c>
      <c r="D31" s="6" t="s">
        <v>23</v>
      </c>
    </row>
    <row r="32" ht="23.25" spans="1:4">
      <c r="A32" s="5" t="s">
        <v>81</v>
      </c>
      <c r="B32" s="5" t="s">
        <v>82</v>
      </c>
      <c r="C32" s="6" t="s">
        <v>23</v>
      </c>
      <c r="D32" s="6" t="s">
        <v>23</v>
      </c>
    </row>
    <row r="33" ht="23.25" spans="1:4">
      <c r="A33" s="5" t="s">
        <v>83</v>
      </c>
      <c r="B33" s="5" t="s">
        <v>84</v>
      </c>
      <c r="C33" s="6" t="s">
        <v>23</v>
      </c>
      <c r="D33" s="6" t="s">
        <v>23</v>
      </c>
    </row>
    <row r="34" ht="33.75" spans="1:4">
      <c r="A34" s="5" t="s">
        <v>85</v>
      </c>
      <c r="B34" s="5" t="s">
        <v>86</v>
      </c>
      <c r="C34" s="6" t="s">
        <v>23</v>
      </c>
      <c r="D34" s="7" t="s">
        <v>26</v>
      </c>
    </row>
    <row r="35" ht="20.25" spans="1:4">
      <c r="A35" s="2"/>
      <c r="B35" s="2"/>
      <c r="C35" s="2"/>
    </row>
  </sheetData>
  <mergeCells count="2">
    <mergeCell ref="A1:A2"/>
    <mergeCell ref="B1:B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考勤</vt:lpstr>
      <vt:lpstr>值日</vt:lpstr>
      <vt:lpstr>实验报告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xdxy</cp:lastModifiedBy>
  <dcterms:created xsi:type="dcterms:W3CDTF">2015-06-05T18:19:00Z</dcterms:created>
  <dcterms:modified xsi:type="dcterms:W3CDTF">2025-12-08T07:44:33Z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DAC41D4FBC274EEE90B16D713E9C2DAE_12</vt:lpwstr>
  </property>
  <property fmtid="{D5CDD505-2E9C-101B-9397-08002B2CF9AE}" pid="3" name="KSOProductBuildVer">
    <vt:lpwstr>2052-12.1.0.23542</vt:lpwstr>
  </property>
</Properties>
</file>